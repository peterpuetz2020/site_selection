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Projekte\FG32_Abwassersurveillance\Daten\Amelag\Kläranlagenauswahl_2025\Data\"/>
    </mc:Choice>
  </mc:AlternateContent>
  <xr:revisionPtr revIDLastSave="0" documentId="8_{7C927F88-4BDD-4E00-A289-E1B1CC6DE1F5}" xr6:coauthVersionLast="36" xr6:coauthVersionMax="36" xr10:uidLastSave="{00000000-0000-0000-0000-000000000000}"/>
  <bookViews>
    <workbookView xWindow="0" yWindow="0" windowWidth="23040" windowHeight="11220" activeTab="1" xr2:uid="{4E988864-E771-48A8-BABB-09F0A3BA87B4}"/>
  </bookViews>
  <sheets>
    <sheet name="Tabelle1" sheetId="1" r:id="rId1"/>
    <sheet name="Tabelle3" sheetId="3" r:id="rId2"/>
    <sheet name="Tabelle2" sheetId="2" r:id="rId3"/>
  </sheets>
  <definedNames>
    <definedName name="_xlnm._FilterDatabase" localSheetId="0" hidden="1">Tabelle1!$B$8:$C$24</definedName>
    <definedName name="_xlnm._FilterDatabase" localSheetId="2" hidden="1">Tabelle2!$A$1:$B$17</definedName>
    <definedName name="Zielwert">Tabelle1!$C$6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1" l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9" i="1"/>
  <c r="H9" i="1" s="1"/>
  <c r="E10" i="1"/>
  <c r="F10" i="1" s="1"/>
  <c r="I10" i="1" s="1"/>
  <c r="E11" i="1"/>
  <c r="F11" i="1" s="1"/>
  <c r="I11" i="1" s="1"/>
  <c r="E12" i="1"/>
  <c r="F12" i="1" s="1"/>
  <c r="I12" i="1" s="1"/>
  <c r="E13" i="1"/>
  <c r="F13" i="1" s="1"/>
  <c r="I13" i="1" s="1"/>
  <c r="E14" i="1"/>
  <c r="F14" i="1" s="1"/>
  <c r="I14" i="1" s="1"/>
  <c r="E15" i="1"/>
  <c r="F15" i="1" s="1"/>
  <c r="I15" i="1" s="1"/>
  <c r="E16" i="1"/>
  <c r="F16" i="1" s="1"/>
  <c r="I16" i="1" s="1"/>
  <c r="E17" i="1"/>
  <c r="F17" i="1" s="1"/>
  <c r="I17" i="1" s="1"/>
  <c r="E18" i="1"/>
  <c r="F18" i="1" s="1"/>
  <c r="I18" i="1" s="1"/>
  <c r="E19" i="1"/>
  <c r="F19" i="1" s="1"/>
  <c r="I19" i="1" s="1"/>
  <c r="E20" i="1"/>
  <c r="F20" i="1" s="1"/>
  <c r="I20" i="1" s="1"/>
  <c r="E21" i="1"/>
  <c r="F21" i="1" s="1"/>
  <c r="I21" i="1" s="1"/>
  <c r="J21" i="1" s="1"/>
  <c r="K21" i="1" s="1"/>
  <c r="E22" i="1"/>
  <c r="F22" i="1" s="1"/>
  <c r="I22" i="1" s="1"/>
  <c r="E23" i="1"/>
  <c r="F23" i="1" s="1"/>
  <c r="I23" i="1" s="1"/>
  <c r="E24" i="1"/>
  <c r="F24" i="1" s="1"/>
  <c r="I24" i="1" s="1"/>
  <c r="E9" i="1"/>
  <c r="F9" i="1" s="1"/>
  <c r="I9" i="1" s="1"/>
  <c r="J9" i="1" s="1"/>
  <c r="K9" i="1" s="1"/>
  <c r="J16" i="1" l="1"/>
  <c r="K16" i="1" s="1"/>
  <c r="J12" i="1"/>
  <c r="K12" i="1" s="1"/>
  <c r="J17" i="1"/>
  <c r="K17" i="1" s="1"/>
  <c r="J24" i="1"/>
  <c r="K24" i="1" s="1"/>
  <c r="J23" i="1"/>
  <c r="K23" i="1" s="1"/>
  <c r="J19" i="1"/>
  <c r="K19" i="1" s="1"/>
  <c r="J15" i="1"/>
  <c r="K15" i="1" s="1"/>
  <c r="J11" i="1"/>
  <c r="K11" i="1" s="1"/>
  <c r="J13" i="1"/>
  <c r="K13" i="1" s="1"/>
  <c r="J20" i="1"/>
  <c r="K20" i="1" s="1"/>
  <c r="J22" i="1"/>
  <c r="K22" i="1" s="1"/>
  <c r="J18" i="1"/>
  <c r="K18" i="1" s="1"/>
  <c r="J14" i="1"/>
  <c r="K14" i="1" s="1"/>
  <c r="J10" i="1"/>
  <c r="K10" i="1" s="1"/>
</calcChain>
</file>

<file path=xl/sharedStrings.xml><?xml version="1.0" encoding="utf-8"?>
<sst xmlns="http://schemas.openxmlformats.org/spreadsheetml/2006/main" count="66" uniqueCount="32">
  <si>
    <t> Bayern</t>
  </si>
  <si>
    <t> Niedersachsen</t>
  </si>
  <si>
    <t> Baden-Württemberg</t>
  </si>
  <si>
    <t> Nordrhein-Westfalen</t>
  </si>
  <si>
    <t> Brandenburg</t>
  </si>
  <si>
    <t> Mecklenburg-Vorpommern</t>
  </si>
  <si>
    <t> Hessen</t>
  </si>
  <si>
    <t> Sachsen-Anhalt</t>
  </si>
  <si>
    <t> Rheinland-Pfalz</t>
  </si>
  <si>
    <t> Sachsen</t>
  </si>
  <si>
    <t> Thüringen</t>
  </si>
  <si>
    <t> Schleswig-Holstein</t>
  </si>
  <si>
    <t> Saarland</t>
  </si>
  <si>
    <t> Berlin</t>
  </si>
  <si>
    <t> Hamburg</t>
  </si>
  <si>
    <t> Bremen</t>
  </si>
  <si>
    <t>Bundesland</t>
  </si>
  <si>
    <t>Fläche</t>
  </si>
  <si>
    <r>
      <t> Berlin</t>
    </r>
    <r>
      <rPr>
        <vertAlign val="superscript"/>
        <sz val="10.45"/>
        <color theme="1"/>
        <rFont val="Calibri"/>
        <family val="2"/>
        <scheme val="minor"/>
      </rPr>
      <t>[1]</t>
    </r>
  </si>
  <si>
    <t>Einwohner</t>
  </si>
  <si>
    <t>Prozent</t>
  </si>
  <si>
    <t>Fläche_gerundete auf obergrenze</t>
  </si>
  <si>
    <t>Einwohner_gerundet auf obergrenze</t>
  </si>
  <si>
    <t>Zielwert</t>
  </si>
  <si>
    <t>Kläranlagen</t>
  </si>
  <si>
    <t>Punkt_Flaeche</t>
  </si>
  <si>
    <t>Punkt_Einwohner</t>
  </si>
  <si>
    <t>Punkt_gesamt</t>
  </si>
  <si>
    <t>Kläranlagen_anzahl_80</t>
  </si>
  <si>
    <t>Kläranlagen_anzahl_70</t>
  </si>
  <si>
    <t>Kläranlagen_anzahl_60</t>
  </si>
  <si>
    <t>Kläranlagen_anzahl_50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</si>
</sst>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45"/>
      <color theme="1"/>
      <name val="Calibri"/>
      <family val="2"/>
      <scheme val="minor"/>
    </font>
    <font>
      <vertAlign val="superscript"/>
      <sz val="10.4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/>
    <xf numFmtId="4" fontId="0" fillId="0" borderId="0" xfId="0" applyNumberFormat="1" applyAlignment="1">
      <alignment vertical="center" wrapText="1"/>
    </xf>
    <xf numFmtId="0" fontId="1" fillId="0" borderId="0" xfId="0" applyFont="1"/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de.wikipedia.org/wiki/Republik_Moldau" TargetMode="External"/><Relationship Id="rId13" Type="http://schemas.openxmlformats.org/officeDocument/2006/relationships/hyperlink" Target="https://de.wikipedia.org/wiki/Hessen" TargetMode="External"/><Relationship Id="rId18" Type="http://schemas.openxmlformats.org/officeDocument/2006/relationships/hyperlink" Target="https://de.wikipedia.org/wiki/Slowenien" TargetMode="External"/><Relationship Id="rId26" Type="http://schemas.openxmlformats.org/officeDocument/2006/relationships/hyperlink" Target="https://de.wikipedia.org/wiki/Luxemburg" TargetMode="External"/><Relationship Id="rId3" Type="http://schemas.openxmlformats.org/officeDocument/2006/relationships/hyperlink" Target="https://de.wikipedia.org/wiki/Niedersachsen" TargetMode="External"/><Relationship Id="rId21" Type="http://schemas.openxmlformats.org/officeDocument/2006/relationships/hyperlink" Target="https://de.wikipedia.org/wiki/Th%C3%BCringen" TargetMode="External"/><Relationship Id="rId34" Type="http://schemas.openxmlformats.org/officeDocument/2006/relationships/hyperlink" Target="https://de.wikipedia.org/wiki/Republik_Kongo" TargetMode="External"/><Relationship Id="rId7" Type="http://schemas.openxmlformats.org/officeDocument/2006/relationships/hyperlink" Target="https://de.wikipedia.org/wiki/Nordrhein-Westfalen" TargetMode="External"/><Relationship Id="rId12" Type="http://schemas.openxmlformats.org/officeDocument/2006/relationships/hyperlink" Target="https://de.wikipedia.org/wiki/Dschibuti" TargetMode="External"/><Relationship Id="rId17" Type="http://schemas.openxmlformats.org/officeDocument/2006/relationships/hyperlink" Target="https://de.wikipedia.org/wiki/Rheinland-Pfalz" TargetMode="External"/><Relationship Id="rId25" Type="http://schemas.openxmlformats.org/officeDocument/2006/relationships/hyperlink" Target="https://de.wikipedia.org/wiki/Saarland" TargetMode="External"/><Relationship Id="rId33" Type="http://schemas.openxmlformats.org/officeDocument/2006/relationships/hyperlink" Target="https://de.wikipedia.org/wiki/Deutschland" TargetMode="External"/><Relationship Id="rId2" Type="http://schemas.openxmlformats.org/officeDocument/2006/relationships/hyperlink" Target="https://de.wikipedia.org/wiki/Irland" TargetMode="External"/><Relationship Id="rId16" Type="http://schemas.openxmlformats.org/officeDocument/2006/relationships/hyperlink" Target="https://de.wikipedia.org/wiki/Israel" TargetMode="External"/><Relationship Id="rId20" Type="http://schemas.openxmlformats.org/officeDocument/2006/relationships/hyperlink" Target="https://de.wikipedia.org/wiki/Fidschi" TargetMode="External"/><Relationship Id="rId29" Type="http://schemas.openxmlformats.org/officeDocument/2006/relationships/hyperlink" Target="https://de.wikipedia.org/wiki/Hamburg" TargetMode="External"/><Relationship Id="rId1" Type="http://schemas.openxmlformats.org/officeDocument/2006/relationships/hyperlink" Target="https://de.wikipedia.org/wiki/Bayern" TargetMode="External"/><Relationship Id="rId6" Type="http://schemas.openxmlformats.org/officeDocument/2006/relationships/hyperlink" Target="https://de.wikipedia.org/wiki/Guinea-Bissau" TargetMode="External"/><Relationship Id="rId11" Type="http://schemas.openxmlformats.org/officeDocument/2006/relationships/hyperlink" Target="https://de.wikipedia.org/wiki/Mecklenburg-Vorpommern" TargetMode="External"/><Relationship Id="rId24" Type="http://schemas.openxmlformats.org/officeDocument/2006/relationships/hyperlink" Target="https://de.wikipedia.org/wiki/Osttimor" TargetMode="External"/><Relationship Id="rId32" Type="http://schemas.openxmlformats.org/officeDocument/2006/relationships/hyperlink" Target="https://de.wikipedia.org/wiki/Barbados" TargetMode="External"/><Relationship Id="rId5" Type="http://schemas.openxmlformats.org/officeDocument/2006/relationships/hyperlink" Target="https://de.wikipedia.org/wiki/Baden-W%C3%BCrttemberg" TargetMode="External"/><Relationship Id="rId15" Type="http://schemas.openxmlformats.org/officeDocument/2006/relationships/hyperlink" Target="https://de.wikipedia.org/wiki/Sachsen-Anhalt" TargetMode="External"/><Relationship Id="rId23" Type="http://schemas.openxmlformats.org/officeDocument/2006/relationships/hyperlink" Target="https://de.wikipedia.org/wiki/Schleswig-Holstein" TargetMode="External"/><Relationship Id="rId28" Type="http://schemas.openxmlformats.org/officeDocument/2006/relationships/hyperlink" Target="https://de.wikipedia.org/wiki/S%C3%A3o_Tom%C3%A9_und_Pr%C3%ADncipe" TargetMode="External"/><Relationship Id="rId10" Type="http://schemas.openxmlformats.org/officeDocument/2006/relationships/hyperlink" Target="https://de.wikipedia.org/wiki/Armenien" TargetMode="External"/><Relationship Id="rId19" Type="http://schemas.openxmlformats.org/officeDocument/2006/relationships/hyperlink" Target="https://de.wikipedia.org/wiki/Sachsen" TargetMode="External"/><Relationship Id="rId31" Type="http://schemas.openxmlformats.org/officeDocument/2006/relationships/hyperlink" Target="https://de.wikipedia.org/wiki/Freie_Hansestadt_Bremen" TargetMode="External"/><Relationship Id="rId4" Type="http://schemas.openxmlformats.org/officeDocument/2006/relationships/hyperlink" Target="https://de.wikipedia.org/wiki/Dominikanische_Republik" TargetMode="External"/><Relationship Id="rId9" Type="http://schemas.openxmlformats.org/officeDocument/2006/relationships/hyperlink" Target="https://de.wikipedia.org/wiki/Brandenburg" TargetMode="External"/><Relationship Id="rId14" Type="http://schemas.openxmlformats.org/officeDocument/2006/relationships/hyperlink" Target="https://de.wikipedia.org/wiki/El_Salvador" TargetMode="External"/><Relationship Id="rId22" Type="http://schemas.openxmlformats.org/officeDocument/2006/relationships/hyperlink" Target="https://de.wikipedia.org/wiki/Eswatini" TargetMode="External"/><Relationship Id="rId27" Type="http://schemas.openxmlformats.org/officeDocument/2006/relationships/hyperlink" Target="https://de.wikipedia.org/wiki/Berlin" TargetMode="External"/><Relationship Id="rId30" Type="http://schemas.openxmlformats.org/officeDocument/2006/relationships/hyperlink" Target="https://de.wikipedia.org/wiki/Dominica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https://de.wikipedia.org/wiki/Berlin" TargetMode="External"/><Relationship Id="rId13" Type="http://schemas.openxmlformats.org/officeDocument/2006/relationships/hyperlink" Target="https://de.wikipedia.org/wiki/Hamburg" TargetMode="External"/><Relationship Id="rId3" Type="http://schemas.openxmlformats.org/officeDocument/2006/relationships/hyperlink" Target="https://de.wikipedia.org/wiki/Baden-W%C3%BCrttemberg" TargetMode="External"/><Relationship Id="rId7" Type="http://schemas.openxmlformats.org/officeDocument/2006/relationships/hyperlink" Target="https://de.wikipedia.org/wiki/Sachsen" TargetMode="External"/><Relationship Id="rId12" Type="http://schemas.openxmlformats.org/officeDocument/2006/relationships/hyperlink" Target="https://de.wikipedia.org/wiki/Th%C3%BCringen" TargetMode="External"/><Relationship Id="rId2" Type="http://schemas.openxmlformats.org/officeDocument/2006/relationships/hyperlink" Target="https://de.wikipedia.org/wiki/Bayern" TargetMode="External"/><Relationship Id="rId16" Type="http://schemas.openxmlformats.org/officeDocument/2006/relationships/hyperlink" Target="https://de.wikipedia.org/wiki/Freie_Hansestadt_Bremen" TargetMode="External"/><Relationship Id="rId1" Type="http://schemas.openxmlformats.org/officeDocument/2006/relationships/hyperlink" Target="https://de.wikipedia.org/wiki/Nordrhein-Westfalen" TargetMode="External"/><Relationship Id="rId6" Type="http://schemas.openxmlformats.org/officeDocument/2006/relationships/hyperlink" Target="https://de.wikipedia.org/wiki/Rheinland-Pfalz" TargetMode="External"/><Relationship Id="rId11" Type="http://schemas.openxmlformats.org/officeDocument/2006/relationships/hyperlink" Target="https://de.wikipedia.org/wiki/Sachsen-Anhalt" TargetMode="External"/><Relationship Id="rId5" Type="http://schemas.openxmlformats.org/officeDocument/2006/relationships/hyperlink" Target="https://de.wikipedia.org/wiki/Hessen" TargetMode="External"/><Relationship Id="rId15" Type="http://schemas.openxmlformats.org/officeDocument/2006/relationships/hyperlink" Target="https://de.wikipedia.org/wiki/Saarland" TargetMode="External"/><Relationship Id="rId10" Type="http://schemas.openxmlformats.org/officeDocument/2006/relationships/hyperlink" Target="https://de.wikipedia.org/wiki/Brandenburg" TargetMode="External"/><Relationship Id="rId4" Type="http://schemas.openxmlformats.org/officeDocument/2006/relationships/hyperlink" Target="https://de.wikipedia.org/wiki/Niedersachsen" TargetMode="External"/><Relationship Id="rId9" Type="http://schemas.openxmlformats.org/officeDocument/2006/relationships/hyperlink" Target="https://de.wikipedia.org/wiki/Schleswig-Holstein" TargetMode="External"/><Relationship Id="rId14" Type="http://schemas.openxmlformats.org/officeDocument/2006/relationships/hyperlink" Target="https://de.wikipedia.org/wiki/Mecklenburg-Vorpommern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1</xdr:col>
      <xdr:colOff>167640</xdr:colOff>
      <xdr:row>9</xdr:row>
      <xdr:rowOff>97155</xdr:rowOff>
    </xdr:to>
    <xdr:sp macro="" textlink="">
      <xdr:nvSpPr>
        <xdr:cNvPr id="1025" name="AutoShape 1" descr="https://upload.wikimedia.org/wikipedia/commons/thumb/2/20/Flag_of_Bavaria_%28lozengy%29.svg/18px-Flag_of_Bavaria_%28lozengy%29.svg.png">
          <a:hlinkClick xmlns:r="http://schemas.openxmlformats.org/officeDocument/2006/relationships" r:id="rId1" tooltip="Bayern"/>
          <a:extLst>
            <a:ext uri="{FF2B5EF4-FFF2-40B4-BE49-F238E27FC236}">
              <a16:creationId xmlns:a16="http://schemas.microsoft.com/office/drawing/2014/main" id="{3B72C670-BFB4-456C-8A4A-463660B70ECC}"/>
            </a:ext>
          </a:extLst>
        </xdr:cNvPr>
        <xdr:cNvSpPr>
          <a:spLocks noChangeAspect="1" noChangeArrowheads="1"/>
        </xdr:cNvSpPr>
      </xdr:nvSpPr>
      <xdr:spPr bwMode="auto">
        <a:xfrm>
          <a:off x="762000" y="0"/>
          <a:ext cx="1714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190500</xdr:colOff>
      <xdr:row>8</xdr:row>
      <xdr:rowOff>91440</xdr:rowOff>
    </xdr:to>
    <xdr:sp macro="" textlink="">
      <xdr:nvSpPr>
        <xdr:cNvPr id="1026" name="AutoShape 2" descr="https://upload.wikimedia.org/wikipedia/commons/thumb/4/45/Flag_of_Ireland.svg/20px-Flag_of_Ireland.svg.png">
          <a:hlinkClick xmlns:r="http://schemas.openxmlformats.org/officeDocument/2006/relationships" r:id="rId2" tooltip="Irland"/>
          <a:extLst>
            <a:ext uri="{FF2B5EF4-FFF2-40B4-BE49-F238E27FC236}">
              <a16:creationId xmlns:a16="http://schemas.microsoft.com/office/drawing/2014/main" id="{C5D1E105-2AA8-4122-82BA-8480CDA4D6B3}"/>
            </a:ext>
          </a:extLst>
        </xdr:cNvPr>
        <xdr:cNvSpPr>
          <a:spLocks noChangeAspect="1" noChangeArrowheads="1"/>
        </xdr:cNvSpPr>
      </xdr:nvSpPr>
      <xdr:spPr bwMode="auto">
        <a:xfrm>
          <a:off x="3048000" y="0"/>
          <a:ext cx="1905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167640</xdr:colOff>
      <xdr:row>16</xdr:row>
      <xdr:rowOff>114300</xdr:rowOff>
    </xdr:to>
    <xdr:sp macro="" textlink="">
      <xdr:nvSpPr>
        <xdr:cNvPr id="1027" name="AutoShape 3" descr="https://upload.wikimedia.org/wikipedia/commons/thumb/8/81/Flag_of_Lower_Saxony.svg/18px-Flag_of_Lower_Saxony.svg.png">
          <a:hlinkClick xmlns:r="http://schemas.openxmlformats.org/officeDocument/2006/relationships" r:id="rId3" tooltip="Niedersachsen"/>
          <a:extLst>
            <a:ext uri="{FF2B5EF4-FFF2-40B4-BE49-F238E27FC236}">
              <a16:creationId xmlns:a16="http://schemas.microsoft.com/office/drawing/2014/main" id="{5420549C-EF8F-4455-8574-6A322B48E743}"/>
            </a:ext>
          </a:extLst>
        </xdr:cNvPr>
        <xdr:cNvSpPr>
          <a:spLocks noChangeAspect="1" noChangeArrowheads="1"/>
        </xdr:cNvSpPr>
      </xdr:nvSpPr>
      <xdr:spPr bwMode="auto">
        <a:xfrm>
          <a:off x="762000" y="190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190500</xdr:colOff>
      <xdr:row>9</xdr:row>
      <xdr:rowOff>133350</xdr:rowOff>
    </xdr:to>
    <xdr:sp macro="" textlink="">
      <xdr:nvSpPr>
        <xdr:cNvPr id="1028" name="AutoShape 4" descr="https://upload.wikimedia.org/wikipedia/commons/thumb/9/9f/Flag_of_the_Dominican_Republic.svg/20px-Flag_of_the_Dominican_Republic.svg.png">
          <a:hlinkClick xmlns:r="http://schemas.openxmlformats.org/officeDocument/2006/relationships" r:id="rId4" tooltip="Dominikanische Republik"/>
          <a:extLst>
            <a:ext uri="{FF2B5EF4-FFF2-40B4-BE49-F238E27FC236}">
              <a16:creationId xmlns:a16="http://schemas.microsoft.com/office/drawing/2014/main" id="{8F77CD59-C731-411C-A5F2-77722D516733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90500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167640</xdr:colOff>
      <xdr:row>8</xdr:row>
      <xdr:rowOff>97155</xdr:rowOff>
    </xdr:to>
    <xdr:sp macro="" textlink="">
      <xdr:nvSpPr>
        <xdr:cNvPr id="1029" name="AutoShape 5" descr="https://upload.wikimedia.org/wikipedia/commons/thumb/5/5c/Flag_of_Baden-W%C3%BCrttemberg.svg/18px-Flag_of_Baden-W%C3%BCrttemberg.svg.png">
          <a:hlinkClick xmlns:r="http://schemas.openxmlformats.org/officeDocument/2006/relationships" r:id="rId5" tooltip="Baden-Württemberg"/>
          <a:extLst>
            <a:ext uri="{FF2B5EF4-FFF2-40B4-BE49-F238E27FC236}">
              <a16:creationId xmlns:a16="http://schemas.microsoft.com/office/drawing/2014/main" id="{B388863A-219F-4180-B9C1-74947E8F1523}"/>
            </a:ext>
          </a:extLst>
        </xdr:cNvPr>
        <xdr:cNvSpPr>
          <a:spLocks noChangeAspect="1" noChangeArrowheads="1"/>
        </xdr:cNvSpPr>
      </xdr:nvSpPr>
      <xdr:spPr bwMode="auto">
        <a:xfrm>
          <a:off x="762000" y="762000"/>
          <a:ext cx="1714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190500</xdr:colOff>
      <xdr:row>10</xdr:row>
      <xdr:rowOff>91440</xdr:rowOff>
    </xdr:to>
    <xdr:sp macro="" textlink="">
      <xdr:nvSpPr>
        <xdr:cNvPr id="1030" name="AutoShape 6" descr="https://upload.wikimedia.org/wikipedia/commons/thumb/0/01/Flag_of_Guinea-Bissau.svg/20px-Flag_of_Guinea-Bissau.svg.png">
          <a:hlinkClick xmlns:r="http://schemas.openxmlformats.org/officeDocument/2006/relationships" r:id="rId6" tooltip="Guinea-Bissau"/>
          <a:extLst>
            <a:ext uri="{FF2B5EF4-FFF2-40B4-BE49-F238E27FC236}">
              <a16:creationId xmlns:a16="http://schemas.microsoft.com/office/drawing/2014/main" id="{CE186197-E66B-4A35-965F-DF552BADC1A1}"/>
            </a:ext>
          </a:extLst>
        </xdr:cNvPr>
        <xdr:cNvSpPr>
          <a:spLocks noChangeAspect="1" noChangeArrowheads="1"/>
        </xdr:cNvSpPr>
      </xdr:nvSpPr>
      <xdr:spPr bwMode="auto">
        <a:xfrm>
          <a:off x="3048000" y="762000"/>
          <a:ext cx="1905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167640</xdr:colOff>
      <xdr:row>17</xdr:row>
      <xdr:rowOff>97155</xdr:rowOff>
    </xdr:to>
    <xdr:sp macro="" textlink="">
      <xdr:nvSpPr>
        <xdr:cNvPr id="1031" name="AutoShape 7" descr="https://upload.wikimedia.org/wikipedia/commons/thumb/8/84/Flag_of_North_Rhine-Westphalia.svg/18px-Flag_of_North_Rhine-Westphalia.svg.png">
          <a:hlinkClick xmlns:r="http://schemas.openxmlformats.org/officeDocument/2006/relationships" r:id="rId7" tooltip="Nordrhein-Westfalen"/>
          <a:extLst>
            <a:ext uri="{FF2B5EF4-FFF2-40B4-BE49-F238E27FC236}">
              <a16:creationId xmlns:a16="http://schemas.microsoft.com/office/drawing/2014/main" id="{7D4499B0-C1D7-473A-BE91-077F29B9F5D6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33500"/>
          <a:ext cx="1714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190500</xdr:colOff>
      <xdr:row>11</xdr:row>
      <xdr:rowOff>91440</xdr:rowOff>
    </xdr:to>
    <xdr:sp macro="" textlink="">
      <xdr:nvSpPr>
        <xdr:cNvPr id="1032" name="AutoShape 8" descr="https://upload.wikimedia.org/wikipedia/commons/thumb/2/27/Flag_of_Moldova.svg/20px-Flag_of_Moldova.svg.png">
          <a:hlinkClick xmlns:r="http://schemas.openxmlformats.org/officeDocument/2006/relationships" r:id="rId8" tooltip="Republik Moldau"/>
          <a:extLst>
            <a:ext uri="{FF2B5EF4-FFF2-40B4-BE49-F238E27FC236}">
              <a16:creationId xmlns:a16="http://schemas.microsoft.com/office/drawing/2014/main" id="{D514F4ED-69B9-4355-A34A-1775476F9159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333500"/>
          <a:ext cx="1905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167640</xdr:colOff>
      <xdr:row>11</xdr:row>
      <xdr:rowOff>97155</xdr:rowOff>
    </xdr:to>
    <xdr:sp macro="" textlink="">
      <xdr:nvSpPr>
        <xdr:cNvPr id="1033" name="AutoShape 9" descr="https://upload.wikimedia.org/wikipedia/commons/thumb/0/01/Flag_of_Brandenburg.svg/18px-Flag_of_Brandenburg.svg.png">
          <a:hlinkClick xmlns:r="http://schemas.openxmlformats.org/officeDocument/2006/relationships" r:id="rId9" tooltip="Brandenburg"/>
          <a:extLst>
            <a:ext uri="{FF2B5EF4-FFF2-40B4-BE49-F238E27FC236}">
              <a16:creationId xmlns:a16="http://schemas.microsoft.com/office/drawing/2014/main" id="{F096AF6F-0C9C-47BE-B256-052CD2EBE8C4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0"/>
          <a:ext cx="1714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190500</xdr:colOff>
      <xdr:row>12</xdr:row>
      <xdr:rowOff>91440</xdr:rowOff>
    </xdr:to>
    <xdr:sp macro="" textlink="">
      <xdr:nvSpPr>
        <xdr:cNvPr id="1034" name="AutoShape 10" descr="https://upload.wikimedia.org/wikipedia/commons/thumb/2/2f/Flag_of_Armenia.svg/20px-Flag_of_Armenia.svg.png">
          <a:hlinkClick xmlns:r="http://schemas.openxmlformats.org/officeDocument/2006/relationships" r:id="rId10" tooltip="Armenien"/>
          <a:extLst>
            <a:ext uri="{FF2B5EF4-FFF2-40B4-BE49-F238E27FC236}">
              <a16:creationId xmlns:a16="http://schemas.microsoft.com/office/drawing/2014/main" id="{E2314AAB-974A-4502-BE2A-08151A43F2DB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714500"/>
          <a:ext cx="1905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167640</xdr:colOff>
      <xdr:row>15</xdr:row>
      <xdr:rowOff>97155</xdr:rowOff>
    </xdr:to>
    <xdr:sp macro="" textlink="">
      <xdr:nvSpPr>
        <xdr:cNvPr id="1035" name="AutoShape 11" descr="https://upload.wikimedia.org/wikipedia/commons/thumb/c/ce/Flag_of_Mecklenburg-Western_Pomerania.svg/18px-Flag_of_Mecklenburg-Western_Pomerania.svg.png">
          <a:hlinkClick xmlns:r="http://schemas.openxmlformats.org/officeDocument/2006/relationships" r:id="rId11" tooltip="Mecklenburg-Vorpommern"/>
          <a:extLst>
            <a:ext uri="{FF2B5EF4-FFF2-40B4-BE49-F238E27FC236}">
              <a16:creationId xmlns:a16="http://schemas.microsoft.com/office/drawing/2014/main" id="{054EDF99-C2EE-4406-8586-749878071151}"/>
            </a:ext>
          </a:extLst>
        </xdr:cNvPr>
        <xdr:cNvSpPr>
          <a:spLocks noChangeAspect="1" noChangeArrowheads="1"/>
        </xdr:cNvSpPr>
      </xdr:nvSpPr>
      <xdr:spPr bwMode="auto">
        <a:xfrm>
          <a:off x="762000" y="2095500"/>
          <a:ext cx="1714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190500</xdr:colOff>
      <xdr:row>13</xdr:row>
      <xdr:rowOff>133350</xdr:rowOff>
    </xdr:to>
    <xdr:sp macro="" textlink="">
      <xdr:nvSpPr>
        <xdr:cNvPr id="1036" name="AutoShape 12" descr="https://upload.wikimedia.org/wikipedia/commons/thumb/3/34/Flag_of_Djibouti.svg/20px-Flag_of_Djibouti.svg.png">
          <a:hlinkClick xmlns:r="http://schemas.openxmlformats.org/officeDocument/2006/relationships" r:id="rId12" tooltip="Dschibuti"/>
          <a:extLst>
            <a:ext uri="{FF2B5EF4-FFF2-40B4-BE49-F238E27FC236}">
              <a16:creationId xmlns:a16="http://schemas.microsoft.com/office/drawing/2014/main" id="{3A9B5B1D-73A6-4651-A959-33FDAEE88866}"/>
            </a:ext>
          </a:extLst>
        </xdr:cNvPr>
        <xdr:cNvSpPr>
          <a:spLocks noChangeAspect="1" noChangeArrowheads="1"/>
        </xdr:cNvSpPr>
      </xdr:nvSpPr>
      <xdr:spPr bwMode="auto">
        <a:xfrm>
          <a:off x="3048000" y="2095500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167640</xdr:colOff>
      <xdr:row>14</xdr:row>
      <xdr:rowOff>97155</xdr:rowOff>
    </xdr:to>
    <xdr:sp macro="" textlink="">
      <xdr:nvSpPr>
        <xdr:cNvPr id="1037" name="AutoShape 13" descr="https://upload.wikimedia.org/wikipedia/commons/thumb/f/f7/Flag_of_Hesse.svg/18px-Flag_of_Hesse.svg.png">
          <a:hlinkClick xmlns:r="http://schemas.openxmlformats.org/officeDocument/2006/relationships" r:id="rId13" tooltip="Hessen"/>
          <a:extLst>
            <a:ext uri="{FF2B5EF4-FFF2-40B4-BE49-F238E27FC236}">
              <a16:creationId xmlns:a16="http://schemas.microsoft.com/office/drawing/2014/main" id="{247825A4-4381-48CA-89C6-A860DBD51403}"/>
            </a:ext>
          </a:extLst>
        </xdr:cNvPr>
        <xdr:cNvSpPr>
          <a:spLocks noChangeAspect="1" noChangeArrowheads="1"/>
        </xdr:cNvSpPr>
      </xdr:nvSpPr>
      <xdr:spPr bwMode="auto">
        <a:xfrm>
          <a:off x="762000" y="2857500"/>
          <a:ext cx="1714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190500</xdr:colOff>
      <xdr:row>13</xdr:row>
      <xdr:rowOff>97155</xdr:rowOff>
    </xdr:to>
    <xdr:sp macro="" textlink="">
      <xdr:nvSpPr>
        <xdr:cNvPr id="1038" name="AutoShape 14" descr="https://upload.wikimedia.org/wikipedia/commons/thumb/3/34/Flag_of_El_Salvador.svg/20px-Flag_of_El_Salvador.svg.png">
          <a:hlinkClick xmlns:r="http://schemas.openxmlformats.org/officeDocument/2006/relationships" r:id="rId14" tooltip="El Salvador"/>
          <a:extLst>
            <a:ext uri="{FF2B5EF4-FFF2-40B4-BE49-F238E27FC236}">
              <a16:creationId xmlns:a16="http://schemas.microsoft.com/office/drawing/2014/main" id="{5FA6A9D7-0B60-4FED-9EE3-5D5896819A80}"/>
            </a:ext>
          </a:extLst>
        </xdr:cNvPr>
        <xdr:cNvSpPr>
          <a:spLocks noChangeAspect="1" noChangeArrowheads="1"/>
        </xdr:cNvSpPr>
      </xdr:nvSpPr>
      <xdr:spPr bwMode="auto">
        <a:xfrm>
          <a:off x="3048000" y="2857500"/>
          <a:ext cx="1905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167640</xdr:colOff>
      <xdr:row>21</xdr:row>
      <xdr:rowOff>97155</xdr:rowOff>
    </xdr:to>
    <xdr:sp macro="" textlink="">
      <xdr:nvSpPr>
        <xdr:cNvPr id="1039" name="AutoShape 15" descr="https://upload.wikimedia.org/wikipedia/commons/thumb/c/c2/Flag_of_Saxony-Anhalt_%28state%29.svg/18px-Flag_of_Saxony-Anhalt_%28state%29.svg.png">
          <a:hlinkClick xmlns:r="http://schemas.openxmlformats.org/officeDocument/2006/relationships" r:id="rId15" tooltip="Sachsen-Anhalt"/>
          <a:extLst>
            <a:ext uri="{FF2B5EF4-FFF2-40B4-BE49-F238E27FC236}">
              <a16:creationId xmlns:a16="http://schemas.microsoft.com/office/drawing/2014/main" id="{86885704-8A1D-4EC6-B283-8A274DFCB455}"/>
            </a:ext>
          </a:extLst>
        </xdr:cNvPr>
        <xdr:cNvSpPr>
          <a:spLocks noChangeAspect="1" noChangeArrowheads="1"/>
        </xdr:cNvSpPr>
      </xdr:nvSpPr>
      <xdr:spPr bwMode="auto">
        <a:xfrm>
          <a:off x="762000" y="3048000"/>
          <a:ext cx="1714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190500</xdr:colOff>
      <xdr:row>14</xdr:row>
      <xdr:rowOff>135255</xdr:rowOff>
    </xdr:to>
    <xdr:sp macro="" textlink="">
      <xdr:nvSpPr>
        <xdr:cNvPr id="1040" name="AutoShape 16" descr="https://upload.wikimedia.org/wikipedia/commons/thumb/d/d4/Flag_of_Israel.svg/20px-Flag_of_Israel.svg.png">
          <a:hlinkClick xmlns:r="http://schemas.openxmlformats.org/officeDocument/2006/relationships" r:id="rId16" tooltip="Israel"/>
          <a:extLst>
            <a:ext uri="{FF2B5EF4-FFF2-40B4-BE49-F238E27FC236}">
              <a16:creationId xmlns:a16="http://schemas.microsoft.com/office/drawing/2014/main" id="{493509DE-9017-473D-AF05-B8FA8FBFE061}"/>
            </a:ext>
          </a:extLst>
        </xdr:cNvPr>
        <xdr:cNvSpPr>
          <a:spLocks noChangeAspect="1" noChangeArrowheads="1"/>
        </xdr:cNvSpPr>
      </xdr:nvSpPr>
      <xdr:spPr bwMode="auto">
        <a:xfrm>
          <a:off x="3048000" y="3048000"/>
          <a:ext cx="19050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167640</xdr:colOff>
      <xdr:row>18</xdr:row>
      <xdr:rowOff>114300</xdr:rowOff>
    </xdr:to>
    <xdr:sp macro="" textlink="">
      <xdr:nvSpPr>
        <xdr:cNvPr id="1041" name="AutoShape 17" descr="https://upload.wikimedia.org/wikipedia/commons/thumb/b/b7/Flag_of_Rhineland-Palatinate.svg/18px-Flag_of_Rhineland-Palatinate.svg.png">
          <a:hlinkClick xmlns:r="http://schemas.openxmlformats.org/officeDocument/2006/relationships" r:id="rId17" tooltip="Rheinland-Pfalz"/>
          <a:extLst>
            <a:ext uri="{FF2B5EF4-FFF2-40B4-BE49-F238E27FC236}">
              <a16:creationId xmlns:a16="http://schemas.microsoft.com/office/drawing/2014/main" id="{3AAA9BF3-AB38-488F-A746-BDC4DB38F2F8}"/>
            </a:ext>
          </a:extLst>
        </xdr:cNvPr>
        <xdr:cNvSpPr>
          <a:spLocks noChangeAspect="1" noChangeArrowheads="1"/>
        </xdr:cNvSpPr>
      </xdr:nvSpPr>
      <xdr:spPr bwMode="auto">
        <a:xfrm>
          <a:off x="762000" y="4191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190500</xdr:colOff>
      <xdr:row>15</xdr:row>
      <xdr:rowOff>91440</xdr:rowOff>
    </xdr:to>
    <xdr:sp macro="" textlink="">
      <xdr:nvSpPr>
        <xdr:cNvPr id="1042" name="AutoShape 18" descr="https://upload.wikimedia.org/wikipedia/commons/thumb/f/f0/Flag_of_Slovenia.svg/20px-Flag_of_Slovenia.svg.png">
          <a:hlinkClick xmlns:r="http://schemas.openxmlformats.org/officeDocument/2006/relationships" r:id="rId18" tooltip="Slowenien"/>
          <a:extLst>
            <a:ext uri="{FF2B5EF4-FFF2-40B4-BE49-F238E27FC236}">
              <a16:creationId xmlns:a16="http://schemas.microsoft.com/office/drawing/2014/main" id="{13C0D941-AE41-495B-A002-BDE99F0A1CEE}"/>
            </a:ext>
          </a:extLst>
        </xdr:cNvPr>
        <xdr:cNvSpPr>
          <a:spLocks noChangeAspect="1" noChangeArrowheads="1"/>
        </xdr:cNvSpPr>
      </xdr:nvSpPr>
      <xdr:spPr bwMode="auto">
        <a:xfrm>
          <a:off x="3048000" y="4191000"/>
          <a:ext cx="1905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167640</xdr:colOff>
      <xdr:row>20</xdr:row>
      <xdr:rowOff>97155</xdr:rowOff>
    </xdr:to>
    <xdr:sp macro="" textlink="">
      <xdr:nvSpPr>
        <xdr:cNvPr id="1043" name="AutoShape 19" descr="https://upload.wikimedia.org/wikipedia/commons/thumb/f/fd/Flag_of_Saxony.svg/18px-Flag_of_Saxony.svg.png">
          <a:hlinkClick xmlns:r="http://schemas.openxmlformats.org/officeDocument/2006/relationships" r:id="rId19" tooltip="Sachsen"/>
          <a:extLst>
            <a:ext uri="{FF2B5EF4-FFF2-40B4-BE49-F238E27FC236}">
              <a16:creationId xmlns:a16="http://schemas.microsoft.com/office/drawing/2014/main" id="{973A03F5-1EF5-4F12-B5CD-396C0ACFC69F}"/>
            </a:ext>
          </a:extLst>
        </xdr:cNvPr>
        <xdr:cNvSpPr>
          <a:spLocks noChangeAspect="1" noChangeArrowheads="1"/>
        </xdr:cNvSpPr>
      </xdr:nvSpPr>
      <xdr:spPr bwMode="auto">
        <a:xfrm>
          <a:off x="762000" y="4572000"/>
          <a:ext cx="1714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190500</xdr:colOff>
      <xdr:row>16</xdr:row>
      <xdr:rowOff>91440</xdr:rowOff>
    </xdr:to>
    <xdr:sp macro="" textlink="">
      <xdr:nvSpPr>
        <xdr:cNvPr id="1044" name="AutoShape 20" descr="https://upload.wikimedia.org/wikipedia/commons/thumb/b/ba/Flag_of_Fiji.svg/20px-Flag_of_Fiji.svg.png">
          <a:hlinkClick xmlns:r="http://schemas.openxmlformats.org/officeDocument/2006/relationships" r:id="rId20" tooltip="Fidschi"/>
          <a:extLst>
            <a:ext uri="{FF2B5EF4-FFF2-40B4-BE49-F238E27FC236}">
              <a16:creationId xmlns:a16="http://schemas.microsoft.com/office/drawing/2014/main" id="{80FA0D7E-C9BA-4D38-8E34-7F887BF5FEDB}"/>
            </a:ext>
          </a:extLst>
        </xdr:cNvPr>
        <xdr:cNvSpPr>
          <a:spLocks noChangeAspect="1" noChangeArrowheads="1"/>
        </xdr:cNvSpPr>
      </xdr:nvSpPr>
      <xdr:spPr bwMode="auto">
        <a:xfrm>
          <a:off x="3048000" y="4572000"/>
          <a:ext cx="1905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167640</xdr:colOff>
      <xdr:row>23</xdr:row>
      <xdr:rowOff>95250</xdr:rowOff>
    </xdr:to>
    <xdr:sp macro="" textlink="">
      <xdr:nvSpPr>
        <xdr:cNvPr id="1045" name="AutoShape 21" descr="https://upload.wikimedia.org/wikipedia/commons/thumb/b/bd/Flag_of_Thuringia.svg/18px-Flag_of_Thuringia.svg.png">
          <a:hlinkClick xmlns:r="http://schemas.openxmlformats.org/officeDocument/2006/relationships" r:id="rId21" tooltip="Thüringen"/>
          <a:extLst>
            <a:ext uri="{FF2B5EF4-FFF2-40B4-BE49-F238E27FC236}">
              <a16:creationId xmlns:a16="http://schemas.microsoft.com/office/drawing/2014/main" id="{5AF3C54C-45FC-4A7E-A3D0-EE0C256BD30C}"/>
            </a:ext>
          </a:extLst>
        </xdr:cNvPr>
        <xdr:cNvSpPr>
          <a:spLocks noChangeAspect="1" noChangeArrowheads="1"/>
        </xdr:cNvSpPr>
      </xdr:nvSpPr>
      <xdr:spPr bwMode="auto">
        <a:xfrm>
          <a:off x="762000" y="4762500"/>
          <a:ext cx="17145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190500</xdr:colOff>
      <xdr:row>17</xdr:row>
      <xdr:rowOff>133350</xdr:rowOff>
    </xdr:to>
    <xdr:sp macro="" textlink="">
      <xdr:nvSpPr>
        <xdr:cNvPr id="1046" name="AutoShape 22" descr="https://upload.wikimedia.org/wikipedia/commons/thumb/f/fb/Flag_of_Eswatini.svg/20px-Flag_of_Eswatini.svg.png">
          <a:hlinkClick xmlns:r="http://schemas.openxmlformats.org/officeDocument/2006/relationships" r:id="rId22" tooltip="Eswatini"/>
          <a:extLst>
            <a:ext uri="{FF2B5EF4-FFF2-40B4-BE49-F238E27FC236}">
              <a16:creationId xmlns:a16="http://schemas.microsoft.com/office/drawing/2014/main" id="{FC8C25B2-E539-4E8E-946F-2DC7EA7400DF}"/>
            </a:ext>
          </a:extLst>
        </xdr:cNvPr>
        <xdr:cNvSpPr>
          <a:spLocks noChangeAspect="1" noChangeArrowheads="1"/>
        </xdr:cNvSpPr>
      </xdr:nvSpPr>
      <xdr:spPr bwMode="auto">
        <a:xfrm>
          <a:off x="3048000" y="4762500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167640</xdr:colOff>
      <xdr:row>22</xdr:row>
      <xdr:rowOff>97155</xdr:rowOff>
    </xdr:to>
    <xdr:sp macro="" textlink="">
      <xdr:nvSpPr>
        <xdr:cNvPr id="1047" name="AutoShape 23" descr="https://upload.wikimedia.org/wikipedia/commons/thumb/b/b4/Flag_of_Schleswig-Holstein.svg/18px-Flag_of_Schleswig-Holstein.svg.png">
          <a:hlinkClick xmlns:r="http://schemas.openxmlformats.org/officeDocument/2006/relationships" r:id="rId23" tooltip="Schleswig-Holstein"/>
          <a:extLst>
            <a:ext uri="{FF2B5EF4-FFF2-40B4-BE49-F238E27FC236}">
              <a16:creationId xmlns:a16="http://schemas.microsoft.com/office/drawing/2014/main" id="{D2B151FE-9524-4B2A-8334-807194411962}"/>
            </a:ext>
          </a:extLst>
        </xdr:cNvPr>
        <xdr:cNvSpPr>
          <a:spLocks noChangeAspect="1" noChangeArrowheads="1"/>
        </xdr:cNvSpPr>
      </xdr:nvSpPr>
      <xdr:spPr bwMode="auto">
        <a:xfrm>
          <a:off x="762000" y="4953000"/>
          <a:ext cx="1714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190500</xdr:colOff>
      <xdr:row>18</xdr:row>
      <xdr:rowOff>91440</xdr:rowOff>
    </xdr:to>
    <xdr:sp macro="" textlink="">
      <xdr:nvSpPr>
        <xdr:cNvPr id="1048" name="AutoShape 24" descr="https://upload.wikimedia.org/wikipedia/commons/thumb/2/26/Flag_of_East_Timor.svg/20px-Flag_of_East_Timor.svg.png">
          <a:hlinkClick xmlns:r="http://schemas.openxmlformats.org/officeDocument/2006/relationships" r:id="rId24" tooltip="Osttimor"/>
          <a:extLst>
            <a:ext uri="{FF2B5EF4-FFF2-40B4-BE49-F238E27FC236}">
              <a16:creationId xmlns:a16="http://schemas.microsoft.com/office/drawing/2014/main" id="{98A5E32F-1638-4C45-A362-9295E0DD3C7B}"/>
            </a:ext>
          </a:extLst>
        </xdr:cNvPr>
        <xdr:cNvSpPr>
          <a:spLocks noChangeAspect="1" noChangeArrowheads="1"/>
        </xdr:cNvSpPr>
      </xdr:nvSpPr>
      <xdr:spPr bwMode="auto">
        <a:xfrm>
          <a:off x="3048000" y="4953000"/>
          <a:ext cx="1905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167640</xdr:colOff>
      <xdr:row>19</xdr:row>
      <xdr:rowOff>97155</xdr:rowOff>
    </xdr:to>
    <xdr:sp macro="" textlink="">
      <xdr:nvSpPr>
        <xdr:cNvPr id="1049" name="AutoShape 25" descr="https://upload.wikimedia.org/wikipedia/commons/thumb/f/f7/Flag_of_Saarland.svg/18px-Flag_of_Saarland.svg.png">
          <a:hlinkClick xmlns:r="http://schemas.openxmlformats.org/officeDocument/2006/relationships" r:id="rId25" tooltip="Saarland"/>
          <a:extLst>
            <a:ext uri="{FF2B5EF4-FFF2-40B4-BE49-F238E27FC236}">
              <a16:creationId xmlns:a16="http://schemas.microsoft.com/office/drawing/2014/main" id="{4625F994-9F81-429E-953D-5A621738968C}"/>
            </a:ext>
          </a:extLst>
        </xdr:cNvPr>
        <xdr:cNvSpPr>
          <a:spLocks noChangeAspect="1" noChangeArrowheads="1"/>
        </xdr:cNvSpPr>
      </xdr:nvSpPr>
      <xdr:spPr bwMode="auto">
        <a:xfrm>
          <a:off x="762000" y="5334000"/>
          <a:ext cx="1714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190500</xdr:colOff>
      <xdr:row>19</xdr:row>
      <xdr:rowOff>114300</xdr:rowOff>
    </xdr:to>
    <xdr:sp macro="" textlink="">
      <xdr:nvSpPr>
        <xdr:cNvPr id="1050" name="AutoShape 26" descr="https://upload.wikimedia.org/wikipedia/commons/thumb/d/da/Flag_of_Luxembourg.svg/20px-Flag_of_Luxembourg.svg.png">
          <a:hlinkClick xmlns:r="http://schemas.openxmlformats.org/officeDocument/2006/relationships" r:id="rId26" tooltip="Luxemburg"/>
          <a:extLst>
            <a:ext uri="{FF2B5EF4-FFF2-40B4-BE49-F238E27FC236}">
              <a16:creationId xmlns:a16="http://schemas.microsoft.com/office/drawing/2014/main" id="{7F8A49B0-FF42-4DEA-87E0-11EEC2506D9E}"/>
            </a:ext>
          </a:extLst>
        </xdr:cNvPr>
        <xdr:cNvSpPr>
          <a:spLocks noChangeAspect="1" noChangeArrowheads="1"/>
        </xdr:cNvSpPr>
      </xdr:nvSpPr>
      <xdr:spPr bwMode="auto">
        <a:xfrm>
          <a:off x="3048000" y="5334000"/>
          <a:ext cx="1905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167640</xdr:colOff>
      <xdr:row>10</xdr:row>
      <xdr:rowOff>97155</xdr:rowOff>
    </xdr:to>
    <xdr:sp macro="" textlink="">
      <xdr:nvSpPr>
        <xdr:cNvPr id="1051" name="AutoShape 27" descr="https://upload.wikimedia.org/wikipedia/commons/thumb/e/ec/Flag_of_Berlin.svg/18px-Flag_of_Berlin.svg.png">
          <a:hlinkClick xmlns:r="http://schemas.openxmlformats.org/officeDocument/2006/relationships" r:id="rId27" tooltip="Berlin"/>
          <a:extLst>
            <a:ext uri="{FF2B5EF4-FFF2-40B4-BE49-F238E27FC236}">
              <a16:creationId xmlns:a16="http://schemas.microsoft.com/office/drawing/2014/main" id="{B60C2460-48B5-47C0-84EB-3129597C5D54}"/>
            </a:ext>
          </a:extLst>
        </xdr:cNvPr>
        <xdr:cNvSpPr>
          <a:spLocks noChangeAspect="1" noChangeArrowheads="1"/>
        </xdr:cNvSpPr>
      </xdr:nvSpPr>
      <xdr:spPr bwMode="auto">
        <a:xfrm>
          <a:off x="762000" y="5524500"/>
          <a:ext cx="1714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190500</xdr:colOff>
      <xdr:row>20</xdr:row>
      <xdr:rowOff>91440</xdr:rowOff>
    </xdr:to>
    <xdr:sp macro="" textlink="">
      <xdr:nvSpPr>
        <xdr:cNvPr id="1052" name="AutoShape 28" descr="https://upload.wikimedia.org/wikipedia/commons/thumb/0/0a/Flag_of_S%C3%A3o_Tom%C3%A9_and_Pr%C3%ADncipe.svg/20px-Flag_of_S%C3%A3o_Tom%C3%A9_and_Pr%C3%ADncipe.svg.png">
          <a:hlinkClick xmlns:r="http://schemas.openxmlformats.org/officeDocument/2006/relationships" r:id="rId28" tooltip="São Tomé und Príncipe"/>
          <a:extLst>
            <a:ext uri="{FF2B5EF4-FFF2-40B4-BE49-F238E27FC236}">
              <a16:creationId xmlns:a16="http://schemas.microsoft.com/office/drawing/2014/main" id="{CA432946-7B17-4EB0-8A1B-914D7A9E1AB6}"/>
            </a:ext>
          </a:extLst>
        </xdr:cNvPr>
        <xdr:cNvSpPr>
          <a:spLocks noChangeAspect="1" noChangeArrowheads="1"/>
        </xdr:cNvSpPr>
      </xdr:nvSpPr>
      <xdr:spPr bwMode="auto">
        <a:xfrm>
          <a:off x="3048000" y="5524500"/>
          <a:ext cx="1905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167640</xdr:colOff>
      <xdr:row>13</xdr:row>
      <xdr:rowOff>114300</xdr:rowOff>
    </xdr:to>
    <xdr:sp macro="" textlink="">
      <xdr:nvSpPr>
        <xdr:cNvPr id="1053" name="AutoShape 29" descr="https://upload.wikimedia.org/wikipedia/commons/thumb/7/74/Flag_of_Hamburg.svg/18px-Flag_of_Hamburg.svg.png">
          <a:hlinkClick xmlns:r="http://schemas.openxmlformats.org/officeDocument/2006/relationships" r:id="rId29" tooltip="Hamburg"/>
          <a:extLst>
            <a:ext uri="{FF2B5EF4-FFF2-40B4-BE49-F238E27FC236}">
              <a16:creationId xmlns:a16="http://schemas.microsoft.com/office/drawing/2014/main" id="{ACD09387-E6BC-4B5F-A39C-03EF1C4DE86A}"/>
            </a:ext>
          </a:extLst>
        </xdr:cNvPr>
        <xdr:cNvSpPr>
          <a:spLocks noChangeAspect="1" noChangeArrowheads="1"/>
        </xdr:cNvSpPr>
      </xdr:nvSpPr>
      <xdr:spPr bwMode="auto">
        <a:xfrm>
          <a:off x="762000" y="609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190500</xdr:colOff>
      <xdr:row>21</xdr:row>
      <xdr:rowOff>91440</xdr:rowOff>
    </xdr:to>
    <xdr:sp macro="" textlink="">
      <xdr:nvSpPr>
        <xdr:cNvPr id="1054" name="AutoShape 30" descr="https://upload.wikimedia.org/wikipedia/commons/thumb/c/c4/Flag_of_Dominica.svg/20px-Flag_of_Dominica.svg.png">
          <a:hlinkClick xmlns:r="http://schemas.openxmlformats.org/officeDocument/2006/relationships" r:id="rId30" tooltip="Dominica"/>
          <a:extLst>
            <a:ext uri="{FF2B5EF4-FFF2-40B4-BE49-F238E27FC236}">
              <a16:creationId xmlns:a16="http://schemas.microsoft.com/office/drawing/2014/main" id="{F494B1C8-E524-48AC-B366-445E2A207B7A}"/>
            </a:ext>
          </a:extLst>
        </xdr:cNvPr>
        <xdr:cNvSpPr>
          <a:spLocks noChangeAspect="1" noChangeArrowheads="1"/>
        </xdr:cNvSpPr>
      </xdr:nvSpPr>
      <xdr:spPr bwMode="auto">
        <a:xfrm>
          <a:off x="3048000" y="6096000"/>
          <a:ext cx="1905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167640</xdr:colOff>
      <xdr:row>12</xdr:row>
      <xdr:rowOff>114300</xdr:rowOff>
    </xdr:to>
    <xdr:sp macro="" textlink="">
      <xdr:nvSpPr>
        <xdr:cNvPr id="1055" name="AutoShape 31" descr="https://upload.wikimedia.org/wikipedia/commons/thumb/0/0e/Flag_of_Bremen.svg/18px-Flag_of_Bremen.svg.png">
          <a:hlinkClick xmlns:r="http://schemas.openxmlformats.org/officeDocument/2006/relationships" r:id="rId31" tooltip="Bremen"/>
          <a:extLst>
            <a:ext uri="{FF2B5EF4-FFF2-40B4-BE49-F238E27FC236}">
              <a16:creationId xmlns:a16="http://schemas.microsoft.com/office/drawing/2014/main" id="{38CA116C-B3EA-4F33-BDE9-22703FB78731}"/>
            </a:ext>
          </a:extLst>
        </xdr:cNvPr>
        <xdr:cNvSpPr>
          <a:spLocks noChangeAspect="1" noChangeArrowheads="1"/>
        </xdr:cNvSpPr>
      </xdr:nvSpPr>
      <xdr:spPr bwMode="auto">
        <a:xfrm>
          <a:off x="762000" y="628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190500</xdr:colOff>
      <xdr:row>22</xdr:row>
      <xdr:rowOff>133350</xdr:rowOff>
    </xdr:to>
    <xdr:sp macro="" textlink="">
      <xdr:nvSpPr>
        <xdr:cNvPr id="1056" name="AutoShape 32" descr="https://upload.wikimedia.org/wikipedia/commons/thumb/e/ef/Flag_of_Barbados.svg/20px-Flag_of_Barbados.svg.png">
          <a:hlinkClick xmlns:r="http://schemas.openxmlformats.org/officeDocument/2006/relationships" r:id="rId32" tooltip="Barbados"/>
          <a:extLst>
            <a:ext uri="{FF2B5EF4-FFF2-40B4-BE49-F238E27FC236}">
              <a16:creationId xmlns:a16="http://schemas.microsoft.com/office/drawing/2014/main" id="{E7738A53-E720-49D3-B4AC-C45DBE7B23ED}"/>
            </a:ext>
          </a:extLst>
        </xdr:cNvPr>
        <xdr:cNvSpPr>
          <a:spLocks noChangeAspect="1" noChangeArrowheads="1"/>
        </xdr:cNvSpPr>
      </xdr:nvSpPr>
      <xdr:spPr bwMode="auto">
        <a:xfrm>
          <a:off x="3048000" y="6286500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190500</xdr:colOff>
      <xdr:row>13</xdr:row>
      <xdr:rowOff>114300</xdr:rowOff>
    </xdr:to>
    <xdr:sp macro="" textlink="">
      <xdr:nvSpPr>
        <xdr:cNvPr id="1057" name="AutoShape 33" descr="https://upload.wikimedia.org/wikipedia/commons/thumb/b/ba/Flag_of_Germany.svg/20px-Flag_of_Germany.svg.png">
          <a:hlinkClick xmlns:r="http://schemas.openxmlformats.org/officeDocument/2006/relationships" r:id="rId33" tooltip="Deutschland"/>
          <a:extLst>
            <a:ext uri="{FF2B5EF4-FFF2-40B4-BE49-F238E27FC236}">
              <a16:creationId xmlns:a16="http://schemas.microsoft.com/office/drawing/2014/main" id="{61FE3C88-305B-41C4-96DD-457723C3F836}"/>
            </a:ext>
          </a:extLst>
        </xdr:cNvPr>
        <xdr:cNvSpPr>
          <a:spLocks noChangeAspect="1" noChangeArrowheads="1"/>
        </xdr:cNvSpPr>
      </xdr:nvSpPr>
      <xdr:spPr bwMode="auto">
        <a:xfrm>
          <a:off x="762000" y="6477000"/>
          <a:ext cx="1905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190500</xdr:colOff>
      <xdr:row>23</xdr:row>
      <xdr:rowOff>133350</xdr:rowOff>
    </xdr:to>
    <xdr:sp macro="" textlink="">
      <xdr:nvSpPr>
        <xdr:cNvPr id="1058" name="AutoShape 34" descr="https://upload.wikimedia.org/wikipedia/commons/thumb/9/92/Flag_of_the_Republic_of_the_Congo.svg/20px-Flag_of_the_Republic_of_the_Congo.svg.png">
          <a:hlinkClick xmlns:r="http://schemas.openxmlformats.org/officeDocument/2006/relationships" r:id="rId34" tooltip="Republik Kongo"/>
          <a:extLst>
            <a:ext uri="{FF2B5EF4-FFF2-40B4-BE49-F238E27FC236}">
              <a16:creationId xmlns:a16="http://schemas.microsoft.com/office/drawing/2014/main" id="{7373C8A0-D62D-4165-9210-F1C1F6A87729}"/>
            </a:ext>
          </a:extLst>
        </xdr:cNvPr>
        <xdr:cNvSpPr>
          <a:spLocks noChangeAspect="1" noChangeArrowheads="1"/>
        </xdr:cNvSpPr>
      </xdr:nvSpPr>
      <xdr:spPr bwMode="auto">
        <a:xfrm>
          <a:off x="3048000" y="6477000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167640</xdr:colOff>
      <xdr:row>17</xdr:row>
      <xdr:rowOff>97155</xdr:rowOff>
    </xdr:to>
    <xdr:sp macro="" textlink="">
      <xdr:nvSpPr>
        <xdr:cNvPr id="52" name="AutoShape 1" descr="https://upload.wikimedia.org/wikipedia/commons/thumb/8/84/Flag_of_North_Rhine-Westphalia.svg/18px-Flag_of_North_Rhine-Westphalia.svg.png">
          <a:hlinkClick xmlns:r="http://schemas.openxmlformats.org/officeDocument/2006/relationships" r:id="rId7" tooltip="Nordrhein-Westfalen"/>
          <a:extLst>
            <a:ext uri="{FF2B5EF4-FFF2-40B4-BE49-F238E27FC236}">
              <a16:creationId xmlns:a16="http://schemas.microsoft.com/office/drawing/2014/main" id="{A86DFC01-4E72-4E1B-A37C-E4095D5164C4}"/>
            </a:ext>
          </a:extLst>
        </xdr:cNvPr>
        <xdr:cNvSpPr>
          <a:spLocks noChangeAspect="1" noChangeArrowheads="1"/>
        </xdr:cNvSpPr>
      </xdr:nvSpPr>
      <xdr:spPr bwMode="auto">
        <a:xfrm>
          <a:off x="0" y="2962275"/>
          <a:ext cx="1714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167640</xdr:colOff>
      <xdr:row>9</xdr:row>
      <xdr:rowOff>97155</xdr:rowOff>
    </xdr:to>
    <xdr:sp macro="" textlink="">
      <xdr:nvSpPr>
        <xdr:cNvPr id="53" name="AutoShape 2" descr="https://upload.wikimedia.org/wikipedia/commons/thumb/2/20/Flag_of_Bavaria_%28lozengy%29.svg/18px-Flag_of_Bavaria_%28lozengy%29.svg.png">
          <a:hlinkClick xmlns:r="http://schemas.openxmlformats.org/officeDocument/2006/relationships" r:id="rId1" tooltip="Bayern"/>
          <a:extLst>
            <a:ext uri="{FF2B5EF4-FFF2-40B4-BE49-F238E27FC236}">
              <a16:creationId xmlns:a16="http://schemas.microsoft.com/office/drawing/2014/main" id="{6ADA078A-66E2-4AF7-8A06-D42CF4D50499}"/>
            </a:ext>
          </a:extLst>
        </xdr:cNvPr>
        <xdr:cNvSpPr>
          <a:spLocks noChangeAspect="1" noChangeArrowheads="1"/>
        </xdr:cNvSpPr>
      </xdr:nvSpPr>
      <xdr:spPr bwMode="auto">
        <a:xfrm>
          <a:off x="0" y="552450"/>
          <a:ext cx="1714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167640</xdr:colOff>
      <xdr:row>8</xdr:row>
      <xdr:rowOff>97155</xdr:rowOff>
    </xdr:to>
    <xdr:sp macro="" textlink="">
      <xdr:nvSpPr>
        <xdr:cNvPr id="54" name="AutoShape 3" descr="https://upload.wikimedia.org/wikipedia/commons/thumb/5/5c/Flag_of_Baden-W%C3%BCrttemberg.svg/18px-Flag_of_Baden-W%C3%BCrttemberg.svg.png">
          <a:hlinkClick xmlns:r="http://schemas.openxmlformats.org/officeDocument/2006/relationships" r:id="rId5" tooltip="Baden-Württemberg"/>
          <a:extLst>
            <a:ext uri="{FF2B5EF4-FFF2-40B4-BE49-F238E27FC236}">
              <a16:creationId xmlns:a16="http://schemas.microsoft.com/office/drawing/2014/main" id="{0AE39DBB-6FD9-4CBF-8DF5-FF5BE10A20D4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1714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167640</xdr:colOff>
      <xdr:row>16</xdr:row>
      <xdr:rowOff>114300</xdr:rowOff>
    </xdr:to>
    <xdr:sp macro="" textlink="">
      <xdr:nvSpPr>
        <xdr:cNvPr id="55" name="AutoShape 4" descr="https://upload.wikimedia.org/wikipedia/commons/thumb/8/81/Flag_of_Lower_Saxony.svg/18px-Flag_of_Lower_Saxony.svg.png">
          <a:hlinkClick xmlns:r="http://schemas.openxmlformats.org/officeDocument/2006/relationships" r:id="rId3" tooltip="Niedersachsen"/>
          <a:extLst>
            <a:ext uri="{FF2B5EF4-FFF2-40B4-BE49-F238E27FC236}">
              <a16:creationId xmlns:a16="http://schemas.microsoft.com/office/drawing/2014/main" id="{6774586D-75C5-40EC-A8FE-59F4C23A73EF}"/>
            </a:ext>
          </a:extLst>
        </xdr:cNvPr>
        <xdr:cNvSpPr>
          <a:spLocks noChangeAspect="1" noChangeArrowheads="1"/>
        </xdr:cNvSpPr>
      </xdr:nvSpPr>
      <xdr:spPr bwMode="auto">
        <a:xfrm>
          <a:off x="0" y="2600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167640</xdr:colOff>
      <xdr:row>14</xdr:row>
      <xdr:rowOff>97155</xdr:rowOff>
    </xdr:to>
    <xdr:sp macro="" textlink="">
      <xdr:nvSpPr>
        <xdr:cNvPr id="56" name="AutoShape 5" descr="https://upload.wikimedia.org/wikipedia/commons/thumb/f/f7/Flag_of_Hesse.svg/18px-Flag_of_Hesse.svg.png">
          <a:hlinkClick xmlns:r="http://schemas.openxmlformats.org/officeDocument/2006/relationships" r:id="rId13" tooltip="Hessen"/>
          <a:extLst>
            <a:ext uri="{FF2B5EF4-FFF2-40B4-BE49-F238E27FC236}">
              <a16:creationId xmlns:a16="http://schemas.microsoft.com/office/drawing/2014/main" id="{7B831C84-55B7-4EFD-A182-168600265446}"/>
            </a:ext>
          </a:extLst>
        </xdr:cNvPr>
        <xdr:cNvSpPr>
          <a:spLocks noChangeAspect="1" noChangeArrowheads="1"/>
        </xdr:cNvSpPr>
      </xdr:nvSpPr>
      <xdr:spPr bwMode="auto">
        <a:xfrm>
          <a:off x="0" y="2200275"/>
          <a:ext cx="1714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167640</xdr:colOff>
      <xdr:row>18</xdr:row>
      <xdr:rowOff>114300</xdr:rowOff>
    </xdr:to>
    <xdr:sp macro="" textlink="">
      <xdr:nvSpPr>
        <xdr:cNvPr id="57" name="AutoShape 6" descr="https://upload.wikimedia.org/wikipedia/commons/thumb/b/b7/Flag_of_Rhineland-Palatinate.svg/18px-Flag_of_Rhineland-Palatinate.svg.png">
          <a:hlinkClick xmlns:r="http://schemas.openxmlformats.org/officeDocument/2006/relationships" r:id="rId17" tooltip="Rheinland-Pfalz"/>
          <a:extLst>
            <a:ext uri="{FF2B5EF4-FFF2-40B4-BE49-F238E27FC236}">
              <a16:creationId xmlns:a16="http://schemas.microsoft.com/office/drawing/2014/main" id="{D90CC668-B741-48ED-9943-9F2E6E4E293D}"/>
            </a:ext>
          </a:extLst>
        </xdr:cNvPr>
        <xdr:cNvSpPr>
          <a:spLocks noChangeAspect="1" noChangeArrowheads="1"/>
        </xdr:cNvSpPr>
      </xdr:nvSpPr>
      <xdr:spPr bwMode="auto">
        <a:xfrm>
          <a:off x="0" y="3324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167640</xdr:colOff>
      <xdr:row>20</xdr:row>
      <xdr:rowOff>97155</xdr:rowOff>
    </xdr:to>
    <xdr:sp macro="" textlink="">
      <xdr:nvSpPr>
        <xdr:cNvPr id="58" name="AutoShape 7" descr="https://upload.wikimedia.org/wikipedia/commons/thumb/f/fd/Flag_of_Saxony.svg/18px-Flag_of_Saxony.svg.png">
          <a:hlinkClick xmlns:r="http://schemas.openxmlformats.org/officeDocument/2006/relationships" r:id="rId19" tooltip="Sachsen"/>
          <a:extLst>
            <a:ext uri="{FF2B5EF4-FFF2-40B4-BE49-F238E27FC236}">
              <a16:creationId xmlns:a16="http://schemas.microsoft.com/office/drawing/2014/main" id="{7D7F7350-89F1-4C63-9074-7011FF78BC83}"/>
            </a:ext>
          </a:extLst>
        </xdr:cNvPr>
        <xdr:cNvSpPr>
          <a:spLocks noChangeAspect="1" noChangeArrowheads="1"/>
        </xdr:cNvSpPr>
      </xdr:nvSpPr>
      <xdr:spPr bwMode="auto">
        <a:xfrm>
          <a:off x="0" y="3876675"/>
          <a:ext cx="1714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167640</xdr:colOff>
      <xdr:row>10</xdr:row>
      <xdr:rowOff>97155</xdr:rowOff>
    </xdr:to>
    <xdr:sp macro="" textlink="">
      <xdr:nvSpPr>
        <xdr:cNvPr id="59" name="AutoShape 8" descr="https://upload.wikimedia.org/wikipedia/commons/thumb/e/ec/Flag_of_Berlin.svg/18px-Flag_of_Berlin.svg.png">
          <a:hlinkClick xmlns:r="http://schemas.openxmlformats.org/officeDocument/2006/relationships" r:id="rId27" tooltip="Berlin"/>
          <a:extLst>
            <a:ext uri="{FF2B5EF4-FFF2-40B4-BE49-F238E27FC236}">
              <a16:creationId xmlns:a16="http://schemas.microsoft.com/office/drawing/2014/main" id="{F3E50E1F-166D-410C-8B5D-5075A143F66B}"/>
            </a:ext>
          </a:extLst>
        </xdr:cNvPr>
        <xdr:cNvSpPr>
          <a:spLocks noChangeAspect="1" noChangeArrowheads="1"/>
        </xdr:cNvSpPr>
      </xdr:nvSpPr>
      <xdr:spPr bwMode="auto">
        <a:xfrm>
          <a:off x="0" y="742950"/>
          <a:ext cx="1714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167640</xdr:colOff>
      <xdr:row>22</xdr:row>
      <xdr:rowOff>97155</xdr:rowOff>
    </xdr:to>
    <xdr:sp macro="" textlink="">
      <xdr:nvSpPr>
        <xdr:cNvPr id="60" name="AutoShape 9" descr="https://upload.wikimedia.org/wikipedia/commons/thumb/b/b4/Flag_of_Schleswig-Holstein.svg/18px-Flag_of_Schleswig-Holstein.svg.png">
          <a:hlinkClick xmlns:r="http://schemas.openxmlformats.org/officeDocument/2006/relationships" r:id="rId23" tooltip="Schleswig-Holstein"/>
          <a:extLst>
            <a:ext uri="{FF2B5EF4-FFF2-40B4-BE49-F238E27FC236}">
              <a16:creationId xmlns:a16="http://schemas.microsoft.com/office/drawing/2014/main" id="{FD828946-BD8B-4DAA-BA23-AB92AA1DC132}"/>
            </a:ext>
          </a:extLst>
        </xdr:cNvPr>
        <xdr:cNvSpPr>
          <a:spLocks noChangeAspect="1" noChangeArrowheads="1"/>
        </xdr:cNvSpPr>
      </xdr:nvSpPr>
      <xdr:spPr bwMode="auto">
        <a:xfrm>
          <a:off x="0" y="4791075"/>
          <a:ext cx="1714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167640</xdr:colOff>
      <xdr:row>11</xdr:row>
      <xdr:rowOff>97155</xdr:rowOff>
    </xdr:to>
    <xdr:sp macro="" textlink="">
      <xdr:nvSpPr>
        <xdr:cNvPr id="61" name="AutoShape 10" descr="https://upload.wikimedia.org/wikipedia/commons/thumb/0/01/Flag_of_Brandenburg.svg/18px-Flag_of_Brandenburg.svg.png">
          <a:hlinkClick xmlns:r="http://schemas.openxmlformats.org/officeDocument/2006/relationships" r:id="rId9" tooltip="Brandenburg"/>
          <a:extLst>
            <a:ext uri="{FF2B5EF4-FFF2-40B4-BE49-F238E27FC236}">
              <a16:creationId xmlns:a16="http://schemas.microsoft.com/office/drawing/2014/main" id="{DFBD67CF-B0CA-4430-98EB-DB23824BEF2A}"/>
            </a:ext>
          </a:extLst>
        </xdr:cNvPr>
        <xdr:cNvSpPr>
          <a:spLocks noChangeAspect="1" noChangeArrowheads="1"/>
        </xdr:cNvSpPr>
      </xdr:nvSpPr>
      <xdr:spPr bwMode="auto">
        <a:xfrm>
          <a:off x="0" y="1285875"/>
          <a:ext cx="1714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167640</xdr:colOff>
      <xdr:row>21</xdr:row>
      <xdr:rowOff>97155</xdr:rowOff>
    </xdr:to>
    <xdr:sp macro="" textlink="">
      <xdr:nvSpPr>
        <xdr:cNvPr id="62" name="AutoShape 11" descr="https://upload.wikimedia.org/wikipedia/commons/thumb/c/c2/Flag_of_Saxony-Anhalt_%28state%29.svg/18px-Flag_of_Saxony-Anhalt_%28state%29.svg.png">
          <a:hlinkClick xmlns:r="http://schemas.openxmlformats.org/officeDocument/2006/relationships" r:id="rId15" tooltip="Sachsen-Anhalt"/>
          <a:extLst>
            <a:ext uri="{FF2B5EF4-FFF2-40B4-BE49-F238E27FC236}">
              <a16:creationId xmlns:a16="http://schemas.microsoft.com/office/drawing/2014/main" id="{DEB1CBE7-2556-443F-AD3C-36209365D0BE}"/>
            </a:ext>
          </a:extLst>
        </xdr:cNvPr>
        <xdr:cNvSpPr>
          <a:spLocks noChangeAspect="1" noChangeArrowheads="1"/>
        </xdr:cNvSpPr>
      </xdr:nvSpPr>
      <xdr:spPr bwMode="auto">
        <a:xfrm>
          <a:off x="0" y="4067175"/>
          <a:ext cx="1714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167640</xdr:colOff>
      <xdr:row>23</xdr:row>
      <xdr:rowOff>95250</xdr:rowOff>
    </xdr:to>
    <xdr:sp macro="" textlink="">
      <xdr:nvSpPr>
        <xdr:cNvPr id="63" name="AutoShape 12" descr="https://upload.wikimedia.org/wikipedia/commons/thumb/b/bd/Flag_of_Thuringia.svg/18px-Flag_of_Thuringia.svg.png">
          <a:hlinkClick xmlns:r="http://schemas.openxmlformats.org/officeDocument/2006/relationships" r:id="rId21" tooltip="Thüringen"/>
          <a:extLst>
            <a:ext uri="{FF2B5EF4-FFF2-40B4-BE49-F238E27FC236}">
              <a16:creationId xmlns:a16="http://schemas.microsoft.com/office/drawing/2014/main" id="{58E64DA1-B000-4CE3-A34B-7F2725329A1A}"/>
            </a:ext>
          </a:extLst>
        </xdr:cNvPr>
        <xdr:cNvSpPr>
          <a:spLocks noChangeAspect="1" noChangeArrowheads="1"/>
        </xdr:cNvSpPr>
      </xdr:nvSpPr>
      <xdr:spPr bwMode="auto">
        <a:xfrm>
          <a:off x="0" y="4981575"/>
          <a:ext cx="17145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167640</xdr:colOff>
      <xdr:row>13</xdr:row>
      <xdr:rowOff>114300</xdr:rowOff>
    </xdr:to>
    <xdr:sp macro="" textlink="">
      <xdr:nvSpPr>
        <xdr:cNvPr id="64" name="AutoShape 13" descr="https://upload.wikimedia.org/wikipedia/commons/thumb/7/74/Flag_of_Hamburg.svg/18px-Flag_of_Hamburg.svg.png">
          <a:hlinkClick xmlns:r="http://schemas.openxmlformats.org/officeDocument/2006/relationships" r:id="rId29" tooltip="Hamburg"/>
          <a:extLst>
            <a:ext uri="{FF2B5EF4-FFF2-40B4-BE49-F238E27FC236}">
              <a16:creationId xmlns:a16="http://schemas.microsoft.com/office/drawing/2014/main" id="{0641819F-98D0-4A21-BB79-4C1E028C8F41}"/>
            </a:ext>
          </a:extLst>
        </xdr:cNvPr>
        <xdr:cNvSpPr>
          <a:spLocks noChangeAspect="1" noChangeArrowheads="1"/>
        </xdr:cNvSpPr>
      </xdr:nvSpPr>
      <xdr:spPr bwMode="auto">
        <a:xfrm>
          <a:off x="0" y="1838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167640</xdr:colOff>
      <xdr:row>15</xdr:row>
      <xdr:rowOff>97155</xdr:rowOff>
    </xdr:to>
    <xdr:sp macro="" textlink="">
      <xdr:nvSpPr>
        <xdr:cNvPr id="65" name="AutoShape 14" descr="https://upload.wikimedia.org/wikipedia/commons/thumb/c/ce/Flag_of_Mecklenburg-Western_Pomerania.svg/18px-Flag_of_Mecklenburg-Western_Pomerania.svg.png">
          <a:hlinkClick xmlns:r="http://schemas.openxmlformats.org/officeDocument/2006/relationships" r:id="rId11" tooltip="Mecklenburg-Vorpommern"/>
          <a:extLst>
            <a:ext uri="{FF2B5EF4-FFF2-40B4-BE49-F238E27FC236}">
              <a16:creationId xmlns:a16="http://schemas.microsoft.com/office/drawing/2014/main" id="{374C15D9-E4E3-41A4-A6B9-173BBA40E8AD}"/>
            </a:ext>
          </a:extLst>
        </xdr:cNvPr>
        <xdr:cNvSpPr>
          <a:spLocks noChangeAspect="1" noChangeArrowheads="1"/>
        </xdr:cNvSpPr>
      </xdr:nvSpPr>
      <xdr:spPr bwMode="auto">
        <a:xfrm>
          <a:off x="0" y="2390775"/>
          <a:ext cx="1714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167640</xdr:colOff>
      <xdr:row>19</xdr:row>
      <xdr:rowOff>97155</xdr:rowOff>
    </xdr:to>
    <xdr:sp macro="" textlink="">
      <xdr:nvSpPr>
        <xdr:cNvPr id="66" name="AutoShape 15" descr="https://upload.wikimedia.org/wikipedia/commons/thumb/f/f7/Flag_of_Saarland.svg/18px-Flag_of_Saarland.svg.png">
          <a:hlinkClick xmlns:r="http://schemas.openxmlformats.org/officeDocument/2006/relationships" r:id="rId25" tooltip="Saarland"/>
          <a:extLst>
            <a:ext uri="{FF2B5EF4-FFF2-40B4-BE49-F238E27FC236}">
              <a16:creationId xmlns:a16="http://schemas.microsoft.com/office/drawing/2014/main" id="{BB7D593C-6078-43F4-BA83-AACD163B3D6C}"/>
            </a:ext>
          </a:extLst>
        </xdr:cNvPr>
        <xdr:cNvSpPr>
          <a:spLocks noChangeAspect="1" noChangeArrowheads="1"/>
        </xdr:cNvSpPr>
      </xdr:nvSpPr>
      <xdr:spPr bwMode="auto">
        <a:xfrm>
          <a:off x="0" y="3686175"/>
          <a:ext cx="1714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167640</xdr:colOff>
      <xdr:row>12</xdr:row>
      <xdr:rowOff>114300</xdr:rowOff>
    </xdr:to>
    <xdr:sp macro="" textlink="">
      <xdr:nvSpPr>
        <xdr:cNvPr id="67" name="AutoShape 16" descr="https://upload.wikimedia.org/wikipedia/commons/thumb/0/0e/Flag_of_Bremen.svg/18px-Flag_of_Bremen.svg.png">
          <a:hlinkClick xmlns:r="http://schemas.openxmlformats.org/officeDocument/2006/relationships" r:id="rId31" tooltip="Bremen"/>
          <a:extLst>
            <a:ext uri="{FF2B5EF4-FFF2-40B4-BE49-F238E27FC236}">
              <a16:creationId xmlns:a16="http://schemas.microsoft.com/office/drawing/2014/main" id="{3B44F6EA-730A-4486-870C-B615CCB392C2}"/>
            </a:ext>
          </a:extLst>
        </xdr:cNvPr>
        <xdr:cNvSpPr>
          <a:spLocks noChangeAspect="1" noChangeArrowheads="1"/>
        </xdr:cNvSpPr>
      </xdr:nvSpPr>
      <xdr:spPr bwMode="auto">
        <a:xfrm>
          <a:off x="0" y="164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0</xdr:col>
      <xdr:colOff>171450</xdr:colOff>
      <xdr:row>10</xdr:row>
      <xdr:rowOff>104775</xdr:rowOff>
    </xdr:to>
    <xdr:sp macro="" textlink="">
      <xdr:nvSpPr>
        <xdr:cNvPr id="2049" name="AutoShape 1" descr="https://upload.wikimedia.org/wikipedia/commons/thumb/8/84/Flag_of_North_Rhine-Westphalia.svg/18px-Flag_of_North_Rhine-Westphalia.svg.png">
          <a:hlinkClick xmlns:r="http://schemas.openxmlformats.org/officeDocument/2006/relationships" r:id="rId1" tooltip="Nordrhein-Westfalen"/>
          <a:extLst>
            <a:ext uri="{FF2B5EF4-FFF2-40B4-BE49-F238E27FC236}">
              <a16:creationId xmlns:a16="http://schemas.microsoft.com/office/drawing/2014/main" id="{82123E8B-2D4C-4821-A49E-464B85BFD2C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1714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171450</xdr:colOff>
      <xdr:row>2</xdr:row>
      <xdr:rowOff>104775</xdr:rowOff>
    </xdr:to>
    <xdr:sp macro="" textlink="">
      <xdr:nvSpPr>
        <xdr:cNvPr id="2050" name="AutoShape 2" descr="https://upload.wikimedia.org/wikipedia/commons/thumb/2/20/Flag_of_Bavaria_%28lozengy%29.svg/18px-Flag_of_Bavaria_%28lozengy%29.svg.png">
          <a:hlinkClick xmlns:r="http://schemas.openxmlformats.org/officeDocument/2006/relationships" r:id="rId2" tooltip="Bayern"/>
          <a:extLst>
            <a:ext uri="{FF2B5EF4-FFF2-40B4-BE49-F238E27FC236}">
              <a16:creationId xmlns:a16="http://schemas.microsoft.com/office/drawing/2014/main" id="{6E926B55-BAC1-4E71-81CE-4EEF5528D394}"/>
            </a:ext>
          </a:extLst>
        </xdr:cNvPr>
        <xdr:cNvSpPr>
          <a:spLocks noChangeAspect="1" noChangeArrowheads="1"/>
        </xdr:cNvSpPr>
      </xdr:nvSpPr>
      <xdr:spPr bwMode="auto">
        <a:xfrm>
          <a:off x="0" y="361950"/>
          <a:ext cx="1714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171450</xdr:colOff>
      <xdr:row>1</xdr:row>
      <xdr:rowOff>104775</xdr:rowOff>
    </xdr:to>
    <xdr:sp macro="" textlink="">
      <xdr:nvSpPr>
        <xdr:cNvPr id="2051" name="AutoShape 3" descr="https://upload.wikimedia.org/wikipedia/commons/thumb/5/5c/Flag_of_Baden-W%C3%BCrttemberg.svg/18px-Flag_of_Baden-W%C3%BCrttemberg.svg.png">
          <a:hlinkClick xmlns:r="http://schemas.openxmlformats.org/officeDocument/2006/relationships" r:id="rId3" tooltip="Baden-Württemberg"/>
          <a:extLst>
            <a:ext uri="{FF2B5EF4-FFF2-40B4-BE49-F238E27FC236}">
              <a16:creationId xmlns:a16="http://schemas.microsoft.com/office/drawing/2014/main" id="{1C599A14-DA22-4A95-B9DF-9219A5B65218}"/>
            </a:ext>
          </a:extLst>
        </xdr:cNvPr>
        <xdr:cNvSpPr>
          <a:spLocks noChangeAspect="1" noChangeArrowheads="1"/>
        </xdr:cNvSpPr>
      </xdr:nvSpPr>
      <xdr:spPr bwMode="auto">
        <a:xfrm>
          <a:off x="0" y="552450"/>
          <a:ext cx="1714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171450</xdr:colOff>
      <xdr:row>9</xdr:row>
      <xdr:rowOff>114300</xdr:rowOff>
    </xdr:to>
    <xdr:sp macro="" textlink="">
      <xdr:nvSpPr>
        <xdr:cNvPr id="2052" name="AutoShape 4" descr="https://upload.wikimedia.org/wikipedia/commons/thumb/8/81/Flag_of_Lower_Saxony.svg/18px-Flag_of_Lower_Saxony.svg.png">
          <a:hlinkClick xmlns:r="http://schemas.openxmlformats.org/officeDocument/2006/relationships" r:id="rId4" tooltip="Niedersachsen"/>
          <a:extLst>
            <a:ext uri="{FF2B5EF4-FFF2-40B4-BE49-F238E27FC236}">
              <a16:creationId xmlns:a16="http://schemas.microsoft.com/office/drawing/2014/main" id="{AA19DCF8-6278-4F5E-84C7-8F144118AAF1}"/>
            </a:ext>
          </a:extLst>
        </xdr:cNvPr>
        <xdr:cNvSpPr>
          <a:spLocks noChangeAspect="1" noChangeArrowheads="1"/>
        </xdr:cNvSpPr>
      </xdr:nvSpPr>
      <xdr:spPr bwMode="auto">
        <a:xfrm>
          <a:off x="0" y="1095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171450</xdr:colOff>
      <xdr:row>7</xdr:row>
      <xdr:rowOff>104775</xdr:rowOff>
    </xdr:to>
    <xdr:sp macro="" textlink="">
      <xdr:nvSpPr>
        <xdr:cNvPr id="2053" name="AutoShape 5" descr="https://upload.wikimedia.org/wikipedia/commons/thumb/f/f7/Flag_of_Hesse.svg/18px-Flag_of_Hesse.svg.png">
          <a:hlinkClick xmlns:r="http://schemas.openxmlformats.org/officeDocument/2006/relationships" r:id="rId5" tooltip="Hessen"/>
          <a:extLst>
            <a:ext uri="{FF2B5EF4-FFF2-40B4-BE49-F238E27FC236}">
              <a16:creationId xmlns:a16="http://schemas.microsoft.com/office/drawing/2014/main" id="{72D1C7DF-D06F-4C80-A42F-E8F2D3C4DDCC}"/>
            </a:ext>
          </a:extLst>
        </xdr:cNvPr>
        <xdr:cNvSpPr>
          <a:spLocks noChangeAspect="1" noChangeArrowheads="1"/>
        </xdr:cNvSpPr>
      </xdr:nvSpPr>
      <xdr:spPr bwMode="auto">
        <a:xfrm>
          <a:off x="0" y="1457325"/>
          <a:ext cx="1714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171450</xdr:colOff>
      <xdr:row>11</xdr:row>
      <xdr:rowOff>114300</xdr:rowOff>
    </xdr:to>
    <xdr:sp macro="" textlink="">
      <xdr:nvSpPr>
        <xdr:cNvPr id="2054" name="AutoShape 6" descr="https://upload.wikimedia.org/wikipedia/commons/thumb/b/b7/Flag_of_Rhineland-Palatinate.svg/18px-Flag_of_Rhineland-Palatinate.svg.png">
          <a:hlinkClick xmlns:r="http://schemas.openxmlformats.org/officeDocument/2006/relationships" r:id="rId6" tooltip="Rheinland-Pfalz"/>
          <a:extLst>
            <a:ext uri="{FF2B5EF4-FFF2-40B4-BE49-F238E27FC236}">
              <a16:creationId xmlns:a16="http://schemas.microsoft.com/office/drawing/2014/main" id="{0EAADE2D-8622-421B-9D9C-DAA8D1941C7C}"/>
            </a:ext>
          </a:extLst>
        </xdr:cNvPr>
        <xdr:cNvSpPr>
          <a:spLocks noChangeAspect="1" noChangeArrowheads="1"/>
        </xdr:cNvSpPr>
      </xdr:nvSpPr>
      <xdr:spPr bwMode="auto">
        <a:xfrm>
          <a:off x="0" y="164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171450</xdr:colOff>
      <xdr:row>13</xdr:row>
      <xdr:rowOff>104775</xdr:rowOff>
    </xdr:to>
    <xdr:sp macro="" textlink="">
      <xdr:nvSpPr>
        <xdr:cNvPr id="2055" name="AutoShape 7" descr="https://upload.wikimedia.org/wikipedia/commons/thumb/f/fd/Flag_of_Saxony.svg/18px-Flag_of_Saxony.svg.png">
          <a:hlinkClick xmlns:r="http://schemas.openxmlformats.org/officeDocument/2006/relationships" r:id="rId7" tooltip="Sachsen"/>
          <a:extLst>
            <a:ext uri="{FF2B5EF4-FFF2-40B4-BE49-F238E27FC236}">
              <a16:creationId xmlns:a16="http://schemas.microsoft.com/office/drawing/2014/main" id="{CD54E8F7-FC51-4950-ABFD-0DC2356C0565}"/>
            </a:ext>
          </a:extLst>
        </xdr:cNvPr>
        <xdr:cNvSpPr>
          <a:spLocks noChangeAspect="1" noChangeArrowheads="1"/>
        </xdr:cNvSpPr>
      </xdr:nvSpPr>
      <xdr:spPr bwMode="auto">
        <a:xfrm>
          <a:off x="0" y="2009775"/>
          <a:ext cx="1714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171450</xdr:colOff>
      <xdr:row>3</xdr:row>
      <xdr:rowOff>104775</xdr:rowOff>
    </xdr:to>
    <xdr:sp macro="" textlink="">
      <xdr:nvSpPr>
        <xdr:cNvPr id="2056" name="AutoShape 8" descr="https://upload.wikimedia.org/wikipedia/commons/thumb/e/ec/Flag_of_Berlin.svg/18px-Flag_of_Berlin.svg.png">
          <a:hlinkClick xmlns:r="http://schemas.openxmlformats.org/officeDocument/2006/relationships" r:id="rId8" tooltip="Berlin"/>
          <a:extLst>
            <a:ext uri="{FF2B5EF4-FFF2-40B4-BE49-F238E27FC236}">
              <a16:creationId xmlns:a16="http://schemas.microsoft.com/office/drawing/2014/main" id="{CF7EEEDD-43E2-4447-99F0-7637FD071A3E}"/>
            </a:ext>
          </a:extLst>
        </xdr:cNvPr>
        <xdr:cNvSpPr>
          <a:spLocks noChangeAspect="1" noChangeArrowheads="1"/>
        </xdr:cNvSpPr>
      </xdr:nvSpPr>
      <xdr:spPr bwMode="auto">
        <a:xfrm>
          <a:off x="0" y="2200275"/>
          <a:ext cx="1714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171450</xdr:colOff>
      <xdr:row>15</xdr:row>
      <xdr:rowOff>104775</xdr:rowOff>
    </xdr:to>
    <xdr:sp macro="" textlink="">
      <xdr:nvSpPr>
        <xdr:cNvPr id="2057" name="AutoShape 9" descr="https://upload.wikimedia.org/wikipedia/commons/thumb/b/b4/Flag_of_Schleswig-Holstein.svg/18px-Flag_of_Schleswig-Holstein.svg.png">
          <a:hlinkClick xmlns:r="http://schemas.openxmlformats.org/officeDocument/2006/relationships" r:id="rId9" tooltip="Schleswig-Holstein"/>
          <a:extLst>
            <a:ext uri="{FF2B5EF4-FFF2-40B4-BE49-F238E27FC236}">
              <a16:creationId xmlns:a16="http://schemas.microsoft.com/office/drawing/2014/main" id="{75B83B48-8B90-433C-A4CD-5D0F5AD2312A}"/>
            </a:ext>
          </a:extLst>
        </xdr:cNvPr>
        <xdr:cNvSpPr>
          <a:spLocks noChangeAspect="1" noChangeArrowheads="1"/>
        </xdr:cNvSpPr>
      </xdr:nvSpPr>
      <xdr:spPr bwMode="auto">
        <a:xfrm>
          <a:off x="0" y="2409825"/>
          <a:ext cx="1714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171450</xdr:colOff>
      <xdr:row>4</xdr:row>
      <xdr:rowOff>104775</xdr:rowOff>
    </xdr:to>
    <xdr:sp macro="" textlink="">
      <xdr:nvSpPr>
        <xdr:cNvPr id="2058" name="AutoShape 10" descr="https://upload.wikimedia.org/wikipedia/commons/thumb/0/01/Flag_of_Brandenburg.svg/18px-Flag_of_Brandenburg.svg.png">
          <a:hlinkClick xmlns:r="http://schemas.openxmlformats.org/officeDocument/2006/relationships" r:id="rId10" tooltip="Brandenburg"/>
          <a:extLst>
            <a:ext uri="{FF2B5EF4-FFF2-40B4-BE49-F238E27FC236}">
              <a16:creationId xmlns:a16="http://schemas.microsoft.com/office/drawing/2014/main" id="{CE01C8D9-7955-4AF6-9BEE-1D8734CE1574}"/>
            </a:ext>
          </a:extLst>
        </xdr:cNvPr>
        <xdr:cNvSpPr>
          <a:spLocks noChangeAspect="1" noChangeArrowheads="1"/>
        </xdr:cNvSpPr>
      </xdr:nvSpPr>
      <xdr:spPr bwMode="auto">
        <a:xfrm>
          <a:off x="0" y="2771775"/>
          <a:ext cx="1714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171450</xdr:colOff>
      <xdr:row>14</xdr:row>
      <xdr:rowOff>104775</xdr:rowOff>
    </xdr:to>
    <xdr:sp macro="" textlink="">
      <xdr:nvSpPr>
        <xdr:cNvPr id="2059" name="AutoShape 11" descr="https://upload.wikimedia.org/wikipedia/commons/thumb/c/c2/Flag_of_Saxony-Anhalt_%28state%29.svg/18px-Flag_of_Saxony-Anhalt_%28state%29.svg.png">
          <a:hlinkClick xmlns:r="http://schemas.openxmlformats.org/officeDocument/2006/relationships" r:id="rId11" tooltip="Sachsen-Anhalt"/>
          <a:extLst>
            <a:ext uri="{FF2B5EF4-FFF2-40B4-BE49-F238E27FC236}">
              <a16:creationId xmlns:a16="http://schemas.microsoft.com/office/drawing/2014/main" id="{0E035BE7-D957-414B-96EC-383C3FE45FD2}"/>
            </a:ext>
          </a:extLst>
        </xdr:cNvPr>
        <xdr:cNvSpPr>
          <a:spLocks noChangeAspect="1" noChangeArrowheads="1"/>
        </xdr:cNvSpPr>
      </xdr:nvSpPr>
      <xdr:spPr bwMode="auto">
        <a:xfrm>
          <a:off x="0" y="3133725"/>
          <a:ext cx="1714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171450</xdr:colOff>
      <xdr:row>16</xdr:row>
      <xdr:rowOff>85725</xdr:rowOff>
    </xdr:to>
    <xdr:sp macro="" textlink="">
      <xdr:nvSpPr>
        <xdr:cNvPr id="2060" name="AutoShape 12" descr="https://upload.wikimedia.org/wikipedia/commons/thumb/b/bd/Flag_of_Thuringia.svg/18px-Flag_of_Thuringia.svg.png">
          <a:hlinkClick xmlns:r="http://schemas.openxmlformats.org/officeDocument/2006/relationships" r:id="rId12" tooltip="Thüringen"/>
          <a:extLst>
            <a:ext uri="{FF2B5EF4-FFF2-40B4-BE49-F238E27FC236}">
              <a16:creationId xmlns:a16="http://schemas.microsoft.com/office/drawing/2014/main" id="{BCA81729-4887-4BA9-9D17-6E261B0A7AF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17145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171450</xdr:colOff>
      <xdr:row>6</xdr:row>
      <xdr:rowOff>114300</xdr:rowOff>
    </xdr:to>
    <xdr:sp macro="" textlink="">
      <xdr:nvSpPr>
        <xdr:cNvPr id="2061" name="AutoShape 13" descr="https://upload.wikimedia.org/wikipedia/commons/thumb/7/74/Flag_of_Hamburg.svg/18px-Flag_of_Hamburg.svg.png">
          <a:hlinkClick xmlns:r="http://schemas.openxmlformats.org/officeDocument/2006/relationships" r:id="rId13" tooltip="Hamburg"/>
          <a:extLst>
            <a:ext uri="{FF2B5EF4-FFF2-40B4-BE49-F238E27FC236}">
              <a16:creationId xmlns:a16="http://schemas.microsoft.com/office/drawing/2014/main" id="{790C978A-0A0E-4CBA-9647-56E606F4F215}"/>
            </a:ext>
          </a:extLst>
        </xdr:cNvPr>
        <xdr:cNvSpPr>
          <a:spLocks noChangeAspect="1" noChangeArrowheads="1"/>
        </xdr:cNvSpPr>
      </xdr:nvSpPr>
      <xdr:spPr bwMode="auto">
        <a:xfrm>
          <a:off x="0" y="3686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171450</xdr:colOff>
      <xdr:row>8</xdr:row>
      <xdr:rowOff>104775</xdr:rowOff>
    </xdr:to>
    <xdr:sp macro="" textlink="">
      <xdr:nvSpPr>
        <xdr:cNvPr id="2062" name="AutoShape 14" descr="https://upload.wikimedia.org/wikipedia/commons/thumb/c/ce/Flag_of_Mecklenburg-Western_Pomerania.svg/18px-Flag_of_Mecklenburg-Western_Pomerania.svg.png">
          <a:hlinkClick xmlns:r="http://schemas.openxmlformats.org/officeDocument/2006/relationships" r:id="rId14" tooltip="Mecklenburg-Vorpommern"/>
          <a:extLst>
            <a:ext uri="{FF2B5EF4-FFF2-40B4-BE49-F238E27FC236}">
              <a16:creationId xmlns:a16="http://schemas.microsoft.com/office/drawing/2014/main" id="{63D264EF-D777-4D05-A2FF-BE67470F87FF}"/>
            </a:ext>
          </a:extLst>
        </xdr:cNvPr>
        <xdr:cNvSpPr>
          <a:spLocks noChangeAspect="1" noChangeArrowheads="1"/>
        </xdr:cNvSpPr>
      </xdr:nvSpPr>
      <xdr:spPr bwMode="auto">
        <a:xfrm>
          <a:off x="0" y="3876675"/>
          <a:ext cx="1714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171450</xdr:colOff>
      <xdr:row>12</xdr:row>
      <xdr:rowOff>104775</xdr:rowOff>
    </xdr:to>
    <xdr:sp macro="" textlink="">
      <xdr:nvSpPr>
        <xdr:cNvPr id="2063" name="AutoShape 15" descr="https://upload.wikimedia.org/wikipedia/commons/thumb/f/f7/Flag_of_Saarland.svg/18px-Flag_of_Saarland.svg.png">
          <a:hlinkClick xmlns:r="http://schemas.openxmlformats.org/officeDocument/2006/relationships" r:id="rId15" tooltip="Saarland"/>
          <a:extLst>
            <a:ext uri="{FF2B5EF4-FFF2-40B4-BE49-F238E27FC236}">
              <a16:creationId xmlns:a16="http://schemas.microsoft.com/office/drawing/2014/main" id="{DAC8A96B-98CC-4E24-A73D-66F2625BA26C}"/>
            </a:ext>
          </a:extLst>
        </xdr:cNvPr>
        <xdr:cNvSpPr>
          <a:spLocks noChangeAspect="1" noChangeArrowheads="1"/>
        </xdr:cNvSpPr>
      </xdr:nvSpPr>
      <xdr:spPr bwMode="auto">
        <a:xfrm>
          <a:off x="0" y="4600575"/>
          <a:ext cx="1714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171450</xdr:colOff>
      <xdr:row>5</xdr:row>
      <xdr:rowOff>114300</xdr:rowOff>
    </xdr:to>
    <xdr:sp macro="" textlink="">
      <xdr:nvSpPr>
        <xdr:cNvPr id="2064" name="AutoShape 16" descr="https://upload.wikimedia.org/wikipedia/commons/thumb/0/0e/Flag_of_Bremen.svg/18px-Flag_of_Bremen.svg.png">
          <a:hlinkClick xmlns:r="http://schemas.openxmlformats.org/officeDocument/2006/relationships" r:id="rId16" tooltip="Bremen"/>
          <a:extLst>
            <a:ext uri="{FF2B5EF4-FFF2-40B4-BE49-F238E27FC236}">
              <a16:creationId xmlns:a16="http://schemas.microsoft.com/office/drawing/2014/main" id="{31FF5A4F-8B08-43EB-BF9C-ADDC7DFCD0C4}"/>
            </a:ext>
          </a:extLst>
        </xdr:cNvPr>
        <xdr:cNvSpPr>
          <a:spLocks noChangeAspect="1" noChangeArrowheads="1"/>
        </xdr:cNvSpPr>
      </xdr:nvSpPr>
      <xdr:spPr bwMode="auto">
        <a:xfrm>
          <a:off x="0" y="4791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1728E-C9DA-4A3C-9D98-D2151E350CC3}">
  <dimension ref="B6:K24"/>
  <sheetViews>
    <sheetView workbookViewId="0">
      <selection activeCell="K9" sqref="K9:K24"/>
    </sheetView>
  </sheetViews>
  <sheetFormatPr baseColWidth="10" defaultRowHeight="14.4" x14ac:dyDescent="0.3"/>
  <cols>
    <col min="1" max="1" width="18" customWidth="1"/>
    <col min="2" max="2" width="27.33203125" customWidth="1"/>
  </cols>
  <sheetData>
    <row r="6" spans="2:11" x14ac:dyDescent="0.3">
      <c r="B6" t="s">
        <v>23</v>
      </c>
      <c r="C6">
        <v>50</v>
      </c>
    </row>
    <row r="8" spans="2:11" ht="15" customHeight="1" x14ac:dyDescent="0.3">
      <c r="B8" s="5" t="s">
        <v>16</v>
      </c>
      <c r="C8" s="5" t="s">
        <v>17</v>
      </c>
      <c r="D8" s="5" t="s">
        <v>19</v>
      </c>
      <c r="E8" s="5" t="s">
        <v>21</v>
      </c>
      <c r="F8" s="5" t="s">
        <v>25</v>
      </c>
      <c r="G8" s="5" t="s">
        <v>22</v>
      </c>
      <c r="H8" s="5" t="s">
        <v>26</v>
      </c>
      <c r="I8" s="5" t="s">
        <v>27</v>
      </c>
      <c r="J8" s="5" t="s">
        <v>20</v>
      </c>
      <c r="K8" s="5" t="s">
        <v>24</v>
      </c>
    </row>
    <row r="9" spans="2:11" ht="15" customHeight="1" x14ac:dyDescent="0.3">
      <c r="B9" s="2" t="s">
        <v>2</v>
      </c>
      <c r="C9" s="4">
        <v>35747.83</v>
      </c>
      <c r="D9" s="7">
        <v>11280257</v>
      </c>
      <c r="E9" s="3">
        <f>_xlfn.CEILING.MATH(C9,10000)</f>
        <v>40000</v>
      </c>
      <c r="F9">
        <f>E9/10000</f>
        <v>4</v>
      </c>
      <c r="G9">
        <f>_xlfn.CEILING.MATH(D9,1000000)</f>
        <v>12000000</v>
      </c>
      <c r="H9">
        <f>G9/1000000</f>
        <v>12</v>
      </c>
      <c r="I9">
        <f>F9+H9</f>
        <v>16</v>
      </c>
      <c r="J9">
        <f t="shared" ref="J9:J24" si="0">I9/SUM($I$9:$I$24)</f>
        <v>0.11594202898550725</v>
      </c>
      <c r="K9">
        <f t="shared" ref="K9:K24" si="1">ROUND(Zielwert*J9,0)</f>
        <v>6</v>
      </c>
    </row>
    <row r="10" spans="2:11" ht="15" customHeight="1" x14ac:dyDescent="0.3">
      <c r="B10" s="2" t="s">
        <v>0</v>
      </c>
      <c r="C10" s="4">
        <v>70541.570000000007</v>
      </c>
      <c r="D10" s="7">
        <v>13369393</v>
      </c>
      <c r="E10" s="3">
        <f t="shared" ref="E10:E24" si="2">_xlfn.CEILING.MATH(C10,10000)</f>
        <v>80000</v>
      </c>
      <c r="F10">
        <f t="shared" ref="F10:F24" si="3">E10/10000</f>
        <v>8</v>
      </c>
      <c r="G10">
        <f t="shared" ref="G10:G24" si="4">_xlfn.CEILING.MATH(D10,1000000)</f>
        <v>14000000</v>
      </c>
      <c r="H10">
        <f t="shared" ref="H10:H24" si="5">G10/1000000</f>
        <v>14</v>
      </c>
      <c r="I10">
        <f t="shared" ref="I10:I24" si="6">F10+H10</f>
        <v>22</v>
      </c>
      <c r="J10">
        <f t="shared" si="0"/>
        <v>0.15942028985507245</v>
      </c>
      <c r="K10">
        <f t="shared" si="1"/>
        <v>8</v>
      </c>
    </row>
    <row r="11" spans="2:11" ht="15" customHeight="1" x14ac:dyDescent="0.3">
      <c r="B11" s="2" t="s">
        <v>13</v>
      </c>
      <c r="C11" s="1">
        <v>891.12</v>
      </c>
      <c r="D11" s="7">
        <v>3755251</v>
      </c>
      <c r="E11" s="3">
        <f t="shared" si="2"/>
        <v>10000</v>
      </c>
      <c r="F11">
        <f t="shared" si="3"/>
        <v>1</v>
      </c>
      <c r="G11">
        <f t="shared" si="4"/>
        <v>4000000</v>
      </c>
      <c r="H11">
        <f t="shared" si="5"/>
        <v>4</v>
      </c>
      <c r="I11">
        <f t="shared" si="6"/>
        <v>5</v>
      </c>
      <c r="J11">
        <f t="shared" si="0"/>
        <v>3.6231884057971016E-2</v>
      </c>
      <c r="K11">
        <f t="shared" si="1"/>
        <v>2</v>
      </c>
    </row>
    <row r="12" spans="2:11" ht="15" customHeight="1" x14ac:dyDescent="0.3">
      <c r="B12" s="2" t="s">
        <v>4</v>
      </c>
      <c r="C12" s="4">
        <v>29654.43</v>
      </c>
      <c r="D12" s="7">
        <v>2573135</v>
      </c>
      <c r="E12" s="3">
        <f t="shared" si="2"/>
        <v>30000</v>
      </c>
      <c r="F12">
        <f t="shared" si="3"/>
        <v>3</v>
      </c>
      <c r="G12">
        <f t="shared" si="4"/>
        <v>3000000</v>
      </c>
      <c r="H12">
        <f t="shared" si="5"/>
        <v>3</v>
      </c>
      <c r="I12">
        <f t="shared" si="6"/>
        <v>6</v>
      </c>
      <c r="J12">
        <f t="shared" si="0"/>
        <v>4.3478260869565216E-2</v>
      </c>
      <c r="K12">
        <f t="shared" si="1"/>
        <v>2</v>
      </c>
    </row>
    <row r="13" spans="2:11" ht="15" customHeight="1" x14ac:dyDescent="0.3">
      <c r="B13" s="2" t="s">
        <v>15</v>
      </c>
      <c r="C13" s="1">
        <v>419.37</v>
      </c>
      <c r="D13" s="7">
        <v>684864</v>
      </c>
      <c r="E13" s="3">
        <f t="shared" si="2"/>
        <v>10000</v>
      </c>
      <c r="F13">
        <f t="shared" si="3"/>
        <v>1</v>
      </c>
      <c r="G13">
        <f t="shared" si="4"/>
        <v>1000000</v>
      </c>
      <c r="H13">
        <f t="shared" si="5"/>
        <v>1</v>
      </c>
      <c r="I13">
        <f t="shared" si="6"/>
        <v>2</v>
      </c>
      <c r="J13">
        <f t="shared" si="0"/>
        <v>1.4492753623188406E-2</v>
      </c>
      <c r="K13">
        <f t="shared" si="1"/>
        <v>1</v>
      </c>
    </row>
    <row r="14" spans="2:11" ht="15" customHeight="1" x14ac:dyDescent="0.3">
      <c r="B14" s="2" t="s">
        <v>14</v>
      </c>
      <c r="C14" s="1">
        <v>755.09</v>
      </c>
      <c r="D14" s="7">
        <v>1892122</v>
      </c>
      <c r="E14" s="3">
        <f t="shared" si="2"/>
        <v>10000</v>
      </c>
      <c r="F14">
        <f t="shared" si="3"/>
        <v>1</v>
      </c>
      <c r="G14">
        <f t="shared" si="4"/>
        <v>2000000</v>
      </c>
      <c r="H14">
        <f t="shared" si="5"/>
        <v>2</v>
      </c>
      <c r="I14">
        <f t="shared" si="6"/>
        <v>3</v>
      </c>
      <c r="J14">
        <f t="shared" si="0"/>
        <v>2.1739130434782608E-2</v>
      </c>
      <c r="K14">
        <f t="shared" si="1"/>
        <v>1</v>
      </c>
    </row>
    <row r="15" spans="2:11" ht="15" customHeight="1" x14ac:dyDescent="0.3">
      <c r="B15" s="2" t="s">
        <v>6</v>
      </c>
      <c r="C15" s="4">
        <v>21115.64</v>
      </c>
      <c r="D15" s="7">
        <v>6391360</v>
      </c>
      <c r="E15" s="3">
        <f t="shared" si="2"/>
        <v>30000</v>
      </c>
      <c r="F15">
        <f t="shared" si="3"/>
        <v>3</v>
      </c>
      <c r="G15">
        <f t="shared" si="4"/>
        <v>7000000</v>
      </c>
      <c r="H15">
        <f t="shared" si="5"/>
        <v>7</v>
      </c>
      <c r="I15">
        <f t="shared" si="6"/>
        <v>10</v>
      </c>
      <c r="J15">
        <f t="shared" si="0"/>
        <v>7.2463768115942032E-2</v>
      </c>
      <c r="K15">
        <f t="shared" si="1"/>
        <v>4</v>
      </c>
    </row>
    <row r="16" spans="2:11" ht="15" customHeight="1" x14ac:dyDescent="0.3">
      <c r="B16" s="2" t="s">
        <v>5</v>
      </c>
      <c r="C16" s="4">
        <v>23295.22</v>
      </c>
      <c r="D16" s="7">
        <v>1628378</v>
      </c>
      <c r="E16" s="3">
        <f t="shared" si="2"/>
        <v>30000</v>
      </c>
      <c r="F16">
        <f t="shared" si="3"/>
        <v>3</v>
      </c>
      <c r="G16">
        <f t="shared" si="4"/>
        <v>2000000</v>
      </c>
      <c r="H16">
        <f t="shared" si="5"/>
        <v>2</v>
      </c>
      <c r="I16">
        <f t="shared" si="6"/>
        <v>5</v>
      </c>
      <c r="J16">
        <f t="shared" si="0"/>
        <v>3.6231884057971016E-2</v>
      </c>
      <c r="K16">
        <f t="shared" si="1"/>
        <v>2</v>
      </c>
    </row>
    <row r="17" spans="2:11" ht="15" customHeight="1" x14ac:dyDescent="0.3">
      <c r="B17" s="2" t="s">
        <v>1</v>
      </c>
      <c r="C17" s="4">
        <v>47709.8</v>
      </c>
      <c r="D17" s="7">
        <v>8140242</v>
      </c>
      <c r="E17" s="3">
        <f t="shared" si="2"/>
        <v>50000</v>
      </c>
      <c r="F17">
        <f t="shared" si="3"/>
        <v>5</v>
      </c>
      <c r="G17">
        <f t="shared" si="4"/>
        <v>9000000</v>
      </c>
      <c r="H17">
        <f t="shared" si="5"/>
        <v>9</v>
      </c>
      <c r="I17">
        <f t="shared" si="6"/>
        <v>14</v>
      </c>
      <c r="J17">
        <f t="shared" si="0"/>
        <v>0.10144927536231885</v>
      </c>
      <c r="K17">
        <f t="shared" si="1"/>
        <v>5</v>
      </c>
    </row>
    <row r="18" spans="2:11" ht="15" customHeight="1" x14ac:dyDescent="0.3">
      <c r="B18" s="2" t="s">
        <v>3</v>
      </c>
      <c r="C18" s="4">
        <v>34112.44</v>
      </c>
      <c r="D18" s="7">
        <v>18139116</v>
      </c>
      <c r="E18" s="3">
        <f t="shared" si="2"/>
        <v>40000</v>
      </c>
      <c r="F18">
        <f t="shared" si="3"/>
        <v>4</v>
      </c>
      <c r="G18">
        <f t="shared" si="4"/>
        <v>19000000</v>
      </c>
      <c r="H18">
        <f t="shared" si="5"/>
        <v>19</v>
      </c>
      <c r="I18">
        <f t="shared" si="6"/>
        <v>23</v>
      </c>
      <c r="J18">
        <f t="shared" si="0"/>
        <v>0.16666666666666666</v>
      </c>
      <c r="K18">
        <f t="shared" si="1"/>
        <v>8</v>
      </c>
    </row>
    <row r="19" spans="2:11" ht="15" customHeight="1" x14ac:dyDescent="0.3">
      <c r="B19" s="2" t="s">
        <v>8</v>
      </c>
      <c r="C19" s="4">
        <v>19858</v>
      </c>
      <c r="D19" s="7">
        <v>4159150</v>
      </c>
      <c r="E19" s="3">
        <f t="shared" si="2"/>
        <v>20000</v>
      </c>
      <c r="F19">
        <f t="shared" si="3"/>
        <v>2</v>
      </c>
      <c r="G19">
        <f t="shared" si="4"/>
        <v>5000000</v>
      </c>
      <c r="H19">
        <f t="shared" si="5"/>
        <v>5</v>
      </c>
      <c r="I19">
        <f t="shared" si="6"/>
        <v>7</v>
      </c>
      <c r="J19">
        <f t="shared" si="0"/>
        <v>5.0724637681159424E-2</v>
      </c>
      <c r="K19">
        <f t="shared" si="1"/>
        <v>3</v>
      </c>
    </row>
    <row r="20" spans="2:11" ht="15" customHeight="1" x14ac:dyDescent="0.3">
      <c r="B20" s="2" t="s">
        <v>12</v>
      </c>
      <c r="C20" s="4">
        <v>2571.11</v>
      </c>
      <c r="D20" s="7">
        <v>992666</v>
      </c>
      <c r="E20" s="3">
        <f t="shared" si="2"/>
        <v>10000</v>
      </c>
      <c r="F20">
        <f t="shared" si="3"/>
        <v>1</v>
      </c>
      <c r="G20">
        <f t="shared" si="4"/>
        <v>1000000</v>
      </c>
      <c r="H20">
        <f t="shared" si="5"/>
        <v>1</v>
      </c>
      <c r="I20">
        <f t="shared" si="6"/>
        <v>2</v>
      </c>
      <c r="J20">
        <f t="shared" si="0"/>
        <v>1.4492753623188406E-2</v>
      </c>
      <c r="K20">
        <f t="shared" si="1"/>
        <v>1</v>
      </c>
    </row>
    <row r="21" spans="2:11" ht="15" customHeight="1" x14ac:dyDescent="0.3">
      <c r="B21" s="2" t="s">
        <v>9</v>
      </c>
      <c r="C21" s="4">
        <v>18449.93</v>
      </c>
      <c r="D21" s="7">
        <v>4086152</v>
      </c>
      <c r="E21" s="3">
        <f t="shared" si="2"/>
        <v>20000</v>
      </c>
      <c r="F21">
        <f t="shared" si="3"/>
        <v>2</v>
      </c>
      <c r="G21">
        <f t="shared" si="4"/>
        <v>5000000</v>
      </c>
      <c r="H21">
        <f t="shared" si="5"/>
        <v>5</v>
      </c>
      <c r="I21">
        <f t="shared" si="6"/>
        <v>7</v>
      </c>
      <c r="J21">
        <f t="shared" si="0"/>
        <v>5.0724637681159424E-2</v>
      </c>
      <c r="K21">
        <f t="shared" si="1"/>
        <v>3</v>
      </c>
    </row>
    <row r="22" spans="2:11" ht="15" customHeight="1" x14ac:dyDescent="0.3">
      <c r="B22" s="2" t="s">
        <v>7</v>
      </c>
      <c r="C22" s="4">
        <v>20456.509999999998</v>
      </c>
      <c r="D22" s="7">
        <v>2186643</v>
      </c>
      <c r="E22" s="3">
        <f t="shared" si="2"/>
        <v>30000</v>
      </c>
      <c r="F22">
        <f t="shared" si="3"/>
        <v>3</v>
      </c>
      <c r="G22">
        <f t="shared" si="4"/>
        <v>3000000</v>
      </c>
      <c r="H22">
        <f t="shared" si="5"/>
        <v>3</v>
      </c>
      <c r="I22">
        <f t="shared" si="6"/>
        <v>6</v>
      </c>
      <c r="J22">
        <f t="shared" si="0"/>
        <v>4.3478260869565216E-2</v>
      </c>
      <c r="K22">
        <f t="shared" si="1"/>
        <v>2</v>
      </c>
    </row>
    <row r="23" spans="2:11" ht="15" customHeight="1" x14ac:dyDescent="0.3">
      <c r="B23" s="2" t="s">
        <v>11</v>
      </c>
      <c r="C23" s="4">
        <v>15800.54</v>
      </c>
      <c r="D23" s="7">
        <v>2953270</v>
      </c>
      <c r="E23" s="3">
        <f t="shared" si="2"/>
        <v>20000</v>
      </c>
      <c r="F23">
        <f t="shared" si="3"/>
        <v>2</v>
      </c>
      <c r="G23">
        <f t="shared" si="4"/>
        <v>3000000</v>
      </c>
      <c r="H23">
        <f t="shared" si="5"/>
        <v>3</v>
      </c>
      <c r="I23">
        <f t="shared" si="6"/>
        <v>5</v>
      </c>
      <c r="J23">
        <f t="shared" si="0"/>
        <v>3.6231884057971016E-2</v>
      </c>
      <c r="K23">
        <f t="shared" si="1"/>
        <v>2</v>
      </c>
    </row>
    <row r="24" spans="2:11" ht="15" customHeight="1" x14ac:dyDescent="0.3">
      <c r="B24" s="2" t="s">
        <v>10</v>
      </c>
      <c r="C24" s="4">
        <v>16202.35</v>
      </c>
      <c r="D24" s="7">
        <v>2126846</v>
      </c>
      <c r="E24" s="3">
        <f t="shared" si="2"/>
        <v>20000</v>
      </c>
      <c r="F24">
        <f t="shared" si="3"/>
        <v>2</v>
      </c>
      <c r="G24">
        <f t="shared" si="4"/>
        <v>3000000</v>
      </c>
      <c r="H24">
        <f t="shared" si="5"/>
        <v>3</v>
      </c>
      <c r="I24">
        <f t="shared" si="6"/>
        <v>5</v>
      </c>
      <c r="J24">
        <f t="shared" si="0"/>
        <v>3.6231884057971016E-2</v>
      </c>
      <c r="K24">
        <f t="shared" si="1"/>
        <v>2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E6B3E-F1FD-421E-B805-9AD3F064EE23}">
  <dimension ref="A1:E17"/>
  <sheetViews>
    <sheetView tabSelected="1" workbookViewId="0">
      <selection activeCell="C20" sqref="C20"/>
    </sheetView>
  </sheetViews>
  <sheetFormatPr baseColWidth="10" defaultRowHeight="14.4" x14ac:dyDescent="0.3"/>
  <sheetData>
    <row r="1" spans="1:5" x14ac:dyDescent="0.3">
      <c r="A1" t="s">
        <v>16</v>
      </c>
      <c r="B1" t="s">
        <v>28</v>
      </c>
      <c r="C1" t="s">
        <v>29</v>
      </c>
      <c r="D1" t="s">
        <v>30</v>
      </c>
      <c r="E1" t="s">
        <v>31</v>
      </c>
    </row>
    <row r="2" spans="1:5" x14ac:dyDescent="0.3">
      <c r="A2" t="s">
        <v>2</v>
      </c>
      <c r="B2">
        <v>9</v>
      </c>
      <c r="C2">
        <v>8</v>
      </c>
      <c r="D2">
        <v>7</v>
      </c>
      <c r="E2">
        <v>6</v>
      </c>
    </row>
    <row r="3" spans="1:5" x14ac:dyDescent="0.3">
      <c r="A3" t="s">
        <v>0</v>
      </c>
      <c r="B3">
        <v>13</v>
      </c>
      <c r="C3">
        <v>11</v>
      </c>
      <c r="D3">
        <v>10</v>
      </c>
      <c r="E3">
        <v>8</v>
      </c>
    </row>
    <row r="4" spans="1:5" x14ac:dyDescent="0.3">
      <c r="A4" t="s">
        <v>13</v>
      </c>
      <c r="B4">
        <v>3</v>
      </c>
      <c r="C4">
        <v>3</v>
      </c>
      <c r="D4">
        <v>2</v>
      </c>
      <c r="E4">
        <v>2</v>
      </c>
    </row>
    <row r="5" spans="1:5" x14ac:dyDescent="0.3">
      <c r="A5" t="s">
        <v>4</v>
      </c>
      <c r="B5">
        <v>3</v>
      </c>
      <c r="C5">
        <v>3</v>
      </c>
      <c r="D5">
        <v>3</v>
      </c>
      <c r="E5">
        <v>2</v>
      </c>
    </row>
    <row r="6" spans="1:5" x14ac:dyDescent="0.3">
      <c r="A6" t="s">
        <v>15</v>
      </c>
      <c r="B6">
        <v>1</v>
      </c>
      <c r="C6">
        <v>1</v>
      </c>
      <c r="D6">
        <v>1</v>
      </c>
      <c r="E6">
        <v>1</v>
      </c>
    </row>
    <row r="7" spans="1:5" x14ac:dyDescent="0.3">
      <c r="A7" t="s">
        <v>14</v>
      </c>
      <c r="B7">
        <v>2</v>
      </c>
      <c r="C7">
        <v>2</v>
      </c>
      <c r="D7">
        <v>1</v>
      </c>
      <c r="E7">
        <v>1</v>
      </c>
    </row>
    <row r="8" spans="1:5" x14ac:dyDescent="0.3">
      <c r="A8" t="s">
        <v>6</v>
      </c>
      <c r="B8">
        <v>6</v>
      </c>
      <c r="C8">
        <v>5</v>
      </c>
      <c r="D8">
        <v>4</v>
      </c>
      <c r="E8">
        <v>4</v>
      </c>
    </row>
    <row r="9" spans="1:5" x14ac:dyDescent="0.3">
      <c r="A9" t="s">
        <v>5</v>
      </c>
      <c r="B9">
        <v>3</v>
      </c>
      <c r="C9">
        <v>3</v>
      </c>
      <c r="D9">
        <v>2</v>
      </c>
      <c r="E9">
        <v>2</v>
      </c>
    </row>
    <row r="10" spans="1:5" x14ac:dyDescent="0.3">
      <c r="A10" t="s">
        <v>1</v>
      </c>
      <c r="B10">
        <v>8</v>
      </c>
      <c r="C10">
        <v>7</v>
      </c>
      <c r="D10">
        <v>6</v>
      </c>
      <c r="E10">
        <v>5</v>
      </c>
    </row>
    <row r="11" spans="1:5" x14ac:dyDescent="0.3">
      <c r="A11" t="s">
        <v>3</v>
      </c>
      <c r="B11">
        <v>13</v>
      </c>
      <c r="C11">
        <v>12</v>
      </c>
      <c r="D11">
        <v>10</v>
      </c>
      <c r="E11">
        <v>8</v>
      </c>
    </row>
    <row r="12" spans="1:5" x14ac:dyDescent="0.3">
      <c r="A12" t="s">
        <v>8</v>
      </c>
      <c r="B12">
        <v>4</v>
      </c>
      <c r="C12">
        <v>4</v>
      </c>
      <c r="D12">
        <v>3</v>
      </c>
      <c r="E12">
        <v>3</v>
      </c>
    </row>
    <row r="13" spans="1:5" x14ac:dyDescent="0.3">
      <c r="A13" t="s">
        <v>12</v>
      </c>
      <c r="B13">
        <v>1</v>
      </c>
      <c r="C13">
        <v>1</v>
      </c>
      <c r="D13">
        <v>1</v>
      </c>
      <c r="E13">
        <v>1</v>
      </c>
    </row>
    <row r="14" spans="1:5" x14ac:dyDescent="0.3">
      <c r="A14" t="s">
        <v>9</v>
      </c>
      <c r="B14">
        <v>4</v>
      </c>
      <c r="C14">
        <v>4</v>
      </c>
      <c r="D14">
        <v>3</v>
      </c>
      <c r="E14">
        <v>3</v>
      </c>
    </row>
    <row r="15" spans="1:5" x14ac:dyDescent="0.3">
      <c r="A15" t="s">
        <v>7</v>
      </c>
      <c r="B15">
        <v>3</v>
      </c>
      <c r="C15">
        <v>3</v>
      </c>
      <c r="D15">
        <v>3</v>
      </c>
      <c r="E15">
        <v>2</v>
      </c>
    </row>
    <row r="16" spans="1:5" x14ac:dyDescent="0.3">
      <c r="A16" t="s">
        <v>11</v>
      </c>
      <c r="B16">
        <v>3</v>
      </c>
      <c r="C16">
        <v>3</v>
      </c>
      <c r="D16">
        <v>2</v>
      </c>
      <c r="E16">
        <v>2</v>
      </c>
    </row>
    <row r="17" spans="1:5" x14ac:dyDescent="0.3">
      <c r="A17" t="s">
        <v>10</v>
      </c>
      <c r="B17">
        <v>3</v>
      </c>
      <c r="C17">
        <v>3</v>
      </c>
      <c r="D17">
        <v>2</v>
      </c>
      <c r="E17">
        <v>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E0562-BC5D-48B7-9AEB-DD524F26FD64}">
  <dimension ref="A1:B17"/>
  <sheetViews>
    <sheetView workbookViewId="0">
      <selection activeCell="B17" sqref="A1:B17"/>
    </sheetView>
  </sheetViews>
  <sheetFormatPr baseColWidth="10" defaultRowHeight="14.4" x14ac:dyDescent="0.3"/>
  <sheetData>
    <row r="1" spans="1:2" x14ac:dyDescent="0.3">
      <c r="A1" t="s">
        <v>16</v>
      </c>
      <c r="B1" t="s">
        <v>19</v>
      </c>
    </row>
    <row r="2" spans="1:2" ht="27.6" x14ac:dyDescent="0.3">
      <c r="A2" s="6" t="s">
        <v>2</v>
      </c>
      <c r="B2" s="7">
        <v>11280257</v>
      </c>
    </row>
    <row r="3" spans="1:2" x14ac:dyDescent="0.3">
      <c r="A3" s="6" t="s">
        <v>0</v>
      </c>
      <c r="B3" s="7">
        <v>13369393</v>
      </c>
    </row>
    <row r="4" spans="1:2" ht="15" x14ac:dyDescent="0.3">
      <c r="A4" s="6" t="s">
        <v>18</v>
      </c>
      <c r="B4" s="7">
        <v>3755251</v>
      </c>
    </row>
    <row r="5" spans="1:2" x14ac:dyDescent="0.3">
      <c r="A5" s="6" t="s">
        <v>4</v>
      </c>
      <c r="B5" s="7">
        <v>2573135</v>
      </c>
    </row>
    <row r="6" spans="1:2" x14ac:dyDescent="0.3">
      <c r="A6" s="6" t="s">
        <v>15</v>
      </c>
      <c r="B6" s="7">
        <v>684864</v>
      </c>
    </row>
    <row r="7" spans="1:2" x14ac:dyDescent="0.3">
      <c r="A7" s="6" t="s">
        <v>14</v>
      </c>
      <c r="B7" s="7">
        <v>1892122</v>
      </c>
    </row>
    <row r="8" spans="1:2" x14ac:dyDescent="0.3">
      <c r="A8" s="6" t="s">
        <v>6</v>
      </c>
      <c r="B8" s="7">
        <v>6391360</v>
      </c>
    </row>
    <row r="9" spans="1:2" ht="27.6" x14ac:dyDescent="0.3">
      <c r="A9" s="6" t="s">
        <v>5</v>
      </c>
      <c r="B9" s="7">
        <v>1628378</v>
      </c>
    </row>
    <row r="10" spans="1:2" ht="27.6" x14ac:dyDescent="0.3">
      <c r="A10" s="6" t="s">
        <v>1</v>
      </c>
      <c r="B10" s="7">
        <v>8140242</v>
      </c>
    </row>
    <row r="11" spans="1:2" ht="27.6" x14ac:dyDescent="0.3">
      <c r="A11" s="6" t="s">
        <v>3</v>
      </c>
      <c r="B11" s="7">
        <v>18139116</v>
      </c>
    </row>
    <row r="12" spans="1:2" ht="27.6" x14ac:dyDescent="0.3">
      <c r="A12" s="6" t="s">
        <v>8</v>
      </c>
      <c r="B12" s="7">
        <v>4159150</v>
      </c>
    </row>
    <row r="13" spans="1:2" x14ac:dyDescent="0.3">
      <c r="A13" s="6" t="s">
        <v>12</v>
      </c>
      <c r="B13" s="7">
        <v>992666</v>
      </c>
    </row>
    <row r="14" spans="1:2" x14ac:dyDescent="0.3">
      <c r="A14" s="6" t="s">
        <v>9</v>
      </c>
      <c r="B14" s="7">
        <v>4086152</v>
      </c>
    </row>
    <row r="15" spans="1:2" ht="27.6" x14ac:dyDescent="0.3">
      <c r="A15" s="6" t="s">
        <v>7</v>
      </c>
      <c r="B15" s="7">
        <v>2186643</v>
      </c>
    </row>
    <row r="16" spans="1:2" ht="27.6" x14ac:dyDescent="0.3">
      <c r="A16" s="6" t="s">
        <v>11</v>
      </c>
      <c r="B16" s="7">
        <v>2953270</v>
      </c>
    </row>
    <row r="17" spans="1:2" x14ac:dyDescent="0.3">
      <c r="A17" s="6" t="s">
        <v>10</v>
      </c>
      <c r="B17" s="7">
        <v>2126846</v>
      </c>
    </row>
  </sheetData>
  <autoFilter ref="A1:B17" xr:uid="{FD8EC576-0DF2-4313-91FA-B0CDAD71E94F}">
    <sortState ref="A2:B17">
      <sortCondition ref="A1:A17"/>
    </sortState>
  </autoFilter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Tabelle1</vt:lpstr>
      <vt:lpstr>Tabelle3</vt:lpstr>
      <vt:lpstr>Tabelle2</vt:lpstr>
      <vt:lpstr>Zielwert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Schumacher, Jakob</dc:creator>
  <cp:lastModifiedBy>Helmrich, Maria</cp:lastModifiedBy>
  <dcterms:created xsi:type="dcterms:W3CDTF">2024-07-12T14:25:15Z</dcterms:created>
  <dcterms:modified xsi:type="dcterms:W3CDTF">2024-07-18T09:30:18Z</dcterms:modified>
</cp:coreProperties>
</file>