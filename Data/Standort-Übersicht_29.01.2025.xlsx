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jekte\FG32_Abwassersurveillance\Daten\Amelag\Wochenbericht_alle_Erreger\Data\"/>
    </mc:Choice>
  </mc:AlternateContent>
  <xr:revisionPtr revIDLastSave="0" documentId="8_{4A45D5C7-4C59-4EED-8BF5-2F1A113A32D9}" xr6:coauthVersionLast="36" xr6:coauthVersionMax="36" xr10:uidLastSave="{00000000-0000-0000-0000-000000000000}"/>
  <bookViews>
    <workbookView xWindow="0" yWindow="0" windowWidth="19200" windowHeight="6930" xr2:uid="{319997BC-60A6-4B72-8CFD-1BF3A55DAEEE}"/>
  </bookViews>
  <sheets>
    <sheet name="Tabelle1" sheetId="1" r:id="rId1"/>
  </sheets>
  <definedNames>
    <definedName name="_xlnm._FilterDatabase" localSheetId="0" hidden="1">Tabelle1!$A$1:$I$78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B78" i="1"/>
  <c r="I41" i="1" l="1"/>
  <c r="I2" i="1" l="1"/>
  <c r="I6" i="1"/>
  <c r="I9" i="1"/>
  <c r="I37" i="1"/>
  <c r="I43" i="1"/>
  <c r="I45" i="1"/>
  <c r="I51" i="1"/>
  <c r="I61" i="1"/>
  <c r="I66" i="1"/>
  <c r="I68" i="1"/>
  <c r="I70" i="1"/>
  <c r="I72" i="1"/>
  <c r="I75" i="1"/>
  <c r="I36" i="1"/>
</calcChain>
</file>

<file path=xl/sharedStrings.xml><?xml version="1.0" encoding="utf-8"?>
<sst xmlns="http://schemas.openxmlformats.org/spreadsheetml/2006/main" count="493" uniqueCount="199">
  <si>
    <t xml:space="preserve">Bundesland </t>
  </si>
  <si>
    <t>Standorte</t>
  </si>
  <si>
    <t>Labor</t>
  </si>
  <si>
    <t>Bundesanalytik</t>
  </si>
  <si>
    <t>Brandenburg a.d.H.</t>
  </si>
  <si>
    <t>Ruhleben</t>
  </si>
  <si>
    <t>Waßmannsdorf</t>
  </si>
  <si>
    <t>Nürnberg</t>
  </si>
  <si>
    <t>Augsburg</t>
  </si>
  <si>
    <t>Braunschweig</t>
  </si>
  <si>
    <t>Göttingen</t>
  </si>
  <si>
    <t>Oldenburg</t>
  </si>
  <si>
    <t>Dortmund-Deusen</t>
  </si>
  <si>
    <t>Mönchengladbach</t>
  </si>
  <si>
    <t>Bottrop</t>
  </si>
  <si>
    <t>Koblenz</t>
  </si>
  <si>
    <t>Mainz</t>
  </si>
  <si>
    <t>Kaiserslautern</t>
  </si>
  <si>
    <t>Worms</t>
  </si>
  <si>
    <t>Halle</t>
  </si>
  <si>
    <t>Dessau</t>
  </si>
  <si>
    <t>Gera</t>
  </si>
  <si>
    <t>Jena</t>
  </si>
  <si>
    <t>Erfurt</t>
  </si>
  <si>
    <t>Schwerin</t>
  </si>
  <si>
    <t>Rostock</t>
  </si>
  <si>
    <t>Tübingen</t>
  </si>
  <si>
    <t>Heidelberg</t>
  </si>
  <si>
    <t>Offenburg</t>
  </si>
  <si>
    <t>Pforzheim</t>
  </si>
  <si>
    <t>Hannover-Gümmerwald</t>
  </si>
  <si>
    <t>Influenza</t>
  </si>
  <si>
    <t>Influenza; RSV</t>
  </si>
  <si>
    <t>ja</t>
  </si>
  <si>
    <t>nein</t>
  </si>
  <si>
    <t>Göppingen</t>
  </si>
  <si>
    <t xml:space="preserve">Abdeckung BL </t>
  </si>
  <si>
    <t xml:space="preserve">Summe Abdeckung BL </t>
  </si>
  <si>
    <t>BB</t>
  </si>
  <si>
    <t>Cottbus</t>
  </si>
  <si>
    <t>HB</t>
  </si>
  <si>
    <t>HH</t>
  </si>
  <si>
    <t>SL</t>
  </si>
  <si>
    <t>SH</t>
  </si>
  <si>
    <t>SN</t>
  </si>
  <si>
    <t>ST</t>
  </si>
  <si>
    <t>TH</t>
  </si>
  <si>
    <t>RP</t>
  </si>
  <si>
    <t>NW</t>
  </si>
  <si>
    <t>NI</t>
  </si>
  <si>
    <t>MV</t>
  </si>
  <si>
    <t>HE</t>
  </si>
  <si>
    <t>BY</t>
  </si>
  <si>
    <t>BW</t>
  </si>
  <si>
    <t>BE</t>
  </si>
  <si>
    <t xml:space="preserve">Aktuell Messung weiterer Erreger </t>
  </si>
  <si>
    <t>Saarlouis</t>
  </si>
  <si>
    <t>Potsdam</t>
  </si>
  <si>
    <t>München</t>
  </si>
  <si>
    <t>Vermicon</t>
  </si>
  <si>
    <t>EGLV</t>
  </si>
  <si>
    <t>TZW</t>
  </si>
  <si>
    <t>Frankfurt (Oder)</t>
  </si>
  <si>
    <t>UWWTD-Code</t>
  </si>
  <si>
    <t>DETP_BB22</t>
  </si>
  <si>
    <t>DETP_BB53</t>
  </si>
  <si>
    <t>DETP_BB30</t>
  </si>
  <si>
    <t>DETP_BB200</t>
  </si>
  <si>
    <t>DETP_BE01</t>
  </si>
  <si>
    <t>DETP_BE03</t>
  </si>
  <si>
    <t>DETP_BW1115100000001</t>
  </si>
  <si>
    <t>DETP_BW2125100000014</t>
  </si>
  <si>
    <t>DETP_BW4165100000066</t>
  </si>
  <si>
    <t>DETP_BW2215100000002</t>
  </si>
  <si>
    <t>DETP_BW3175100000001</t>
  </si>
  <si>
    <t>DETP_BW2315100000061</t>
  </si>
  <si>
    <t>DETP_BW1175100000062</t>
  </si>
  <si>
    <t>DETP_BYN-K0005</t>
  </si>
  <si>
    <t>DETP_BYM-K0002</t>
  </si>
  <si>
    <t>DETP_BYDON-K0001</t>
  </si>
  <si>
    <t>DETP_BYR-K0001</t>
  </si>
  <si>
    <t>DETP_HB18-1</t>
  </si>
  <si>
    <t>Bremen (Seehausen)</t>
  </si>
  <si>
    <t>Stuttgart (Mühlhausen)</t>
  </si>
  <si>
    <t>Karlsruhe (Neureut)</t>
  </si>
  <si>
    <t>Kassel (Wolfsanger)</t>
  </si>
  <si>
    <t>DETP_HE066110006311</t>
  </si>
  <si>
    <t>DETP_HH4/4 AI 3_KAN-1</t>
  </si>
  <si>
    <t>DETP_HH4/4 AI 3_KAN-2</t>
  </si>
  <si>
    <t>Hamburg 02 (Süd)</t>
  </si>
  <si>
    <t>Hamburg 01 (Nord)</t>
  </si>
  <si>
    <t>DETP_MV03.03.1 wbu1437</t>
  </si>
  <si>
    <t>DETP_MV04.04.2 wbu1228</t>
  </si>
  <si>
    <t>DETP_NI253014201</t>
  </si>
  <si>
    <t>Hannover-Herrenhausen</t>
  </si>
  <si>
    <t>DETP_NI201000201</t>
  </si>
  <si>
    <t>DETP_NI101000201</t>
  </si>
  <si>
    <t>DETP_NI152012201</t>
  </si>
  <si>
    <t>DETP_NI403000201</t>
  </si>
  <si>
    <t>DETP_NW905</t>
  </si>
  <si>
    <t>DETP_NW1805</t>
  </si>
  <si>
    <t>Köln (Stammheim)</t>
  </si>
  <si>
    <t>DETP_NW1204</t>
  </si>
  <si>
    <t>DETP_NW2104</t>
  </si>
  <si>
    <t>DETP_NW1502</t>
  </si>
  <si>
    <t>DETP_RP102380095</t>
  </si>
  <si>
    <t>DETP_RP101950087</t>
  </si>
  <si>
    <t>DETP_RP105510114</t>
  </si>
  <si>
    <t>DETP_RP100601008</t>
  </si>
  <si>
    <t>DETP_RP102430091</t>
  </si>
  <si>
    <t>Kreis Pinneberg (Hetlingen)</t>
  </si>
  <si>
    <t>DETP_SH56027</t>
  </si>
  <si>
    <t>DETP_SH58157</t>
  </si>
  <si>
    <t>Kiel (Bülk)</t>
  </si>
  <si>
    <t>Saarbrücken (Burbach)</t>
  </si>
  <si>
    <t>DETP_SL240</t>
  </si>
  <si>
    <t>DETP_SL380</t>
  </si>
  <si>
    <t>DETP_SN146</t>
  </si>
  <si>
    <t>Dresden (Kaditz)</t>
  </si>
  <si>
    <t>DETP_SN591</t>
  </si>
  <si>
    <t>Leipzig (Rosental)</t>
  </si>
  <si>
    <t>DETP_ST152021000001</t>
  </si>
  <si>
    <t>Magdeburg (Gerwisch)</t>
  </si>
  <si>
    <t>DETP_ST151011000001</t>
  </si>
  <si>
    <t>DETP_TH8644</t>
  </si>
  <si>
    <t>DETP_TH8646</t>
  </si>
  <si>
    <t>DETP_TH8652</t>
  </si>
  <si>
    <t>KA-Vertrag</t>
  </si>
  <si>
    <t>VV Bund/Land</t>
  </si>
  <si>
    <t>Vertrag (geplant)</t>
  </si>
  <si>
    <t>DETP_HE064140000101</t>
  </si>
  <si>
    <t>Wiesbaden (Hauptklärwerk)</t>
  </si>
  <si>
    <t>Frankfurt/M. Niederrad</t>
  </si>
  <si>
    <t>DETP_HE064120008171_KAN-1</t>
  </si>
  <si>
    <t>DETP_HE064120008171_KAN-2</t>
  </si>
  <si>
    <t>Frankfurt/M. Griesheim</t>
  </si>
  <si>
    <t>UBA 1</t>
  </si>
  <si>
    <t>UBA 2</t>
  </si>
  <si>
    <t>Landeslabor BE</t>
  </si>
  <si>
    <t>Landeslabor BW</t>
  </si>
  <si>
    <t>Landeslabor BY</t>
  </si>
  <si>
    <t>Landeslabor HH</t>
  </si>
  <si>
    <t>Landeslabor ST</t>
  </si>
  <si>
    <t>Vermicon (Landeslösung)</t>
  </si>
  <si>
    <t>DETP_ST153581000001</t>
  </si>
  <si>
    <t>AMELAG-finanziert</t>
  </si>
  <si>
    <t>Wolfsburg</t>
  </si>
  <si>
    <t>DETP_NI103000201</t>
  </si>
  <si>
    <t>VV Bund/EGLV</t>
  </si>
  <si>
    <t>ISA</t>
  </si>
  <si>
    <t>DETP_NW1</t>
  </si>
  <si>
    <t>offen</t>
  </si>
  <si>
    <t>Bioscientia, ab 1.3. Vermicon</t>
  </si>
  <si>
    <t>Aachen (Soers)</t>
  </si>
  <si>
    <t>Trier (Hauptklärwerk)</t>
  </si>
  <si>
    <t>Altötting</t>
  </si>
  <si>
    <t>Freising</t>
  </si>
  <si>
    <t>Starnberg</t>
  </si>
  <si>
    <t>Straubing</t>
  </si>
  <si>
    <t>Bayreuth</t>
  </si>
  <si>
    <t>Hof</t>
  </si>
  <si>
    <t>Erlangen</t>
  </si>
  <si>
    <t>Aschaffenburg</t>
  </si>
  <si>
    <t>Berchtesgaden</t>
  </si>
  <si>
    <t>Schweinfurt</t>
  </si>
  <si>
    <t>Schwabmünchen</t>
  </si>
  <si>
    <t>Zusamarshausen</t>
  </si>
  <si>
    <t>DETP_BYAB-K0002</t>
  </si>
  <si>
    <t>DETP_BYDEG-K0001</t>
  </si>
  <si>
    <t>DETP_BYDEG-K0142</t>
  </si>
  <si>
    <t>Passau (Haibach)</t>
  </si>
  <si>
    <t>DETP_BYDON-K0003</t>
  </si>
  <si>
    <t>DETP_BYDON-K0006</t>
  </si>
  <si>
    <t>DETP_BYHO-K0002</t>
  </si>
  <si>
    <t>DETP_BYHO-K0089</t>
  </si>
  <si>
    <t>DETP_BYIN-K0003</t>
  </si>
  <si>
    <t>Ingolstadt (Zentralkläranlage)</t>
  </si>
  <si>
    <t>DETP_BYKG-K0001</t>
  </si>
  <si>
    <t>DETP_BYM-K0111</t>
  </si>
  <si>
    <t>DETP_BYN-K0002</t>
  </si>
  <si>
    <t>Regensburg</t>
  </si>
  <si>
    <t>DETP_BYTS-K0001</t>
  </si>
  <si>
    <t>DETP_BYTS-K0055</t>
  </si>
  <si>
    <t>DETP_BYWM-K0097</t>
  </si>
  <si>
    <t>DETP_BYWEN-K0001</t>
  </si>
  <si>
    <t>Weiden i. d. Opf.</t>
  </si>
  <si>
    <t>Neu-Ulm (Klärwerk Steinhäule)</t>
  </si>
  <si>
    <t>DETP_BYDON-K0220</t>
  </si>
  <si>
    <t>Schönerlinde</t>
  </si>
  <si>
    <t>DETP_BE02</t>
  </si>
  <si>
    <t xml:space="preserve">Duisburg-Alte Emscher </t>
  </si>
  <si>
    <t xml:space="preserve">Dortmund-Scharnhorst </t>
  </si>
  <si>
    <t>Dinslaken</t>
  </si>
  <si>
    <t>DETP_NW1203</t>
  </si>
  <si>
    <t>DETP_NW920</t>
  </si>
  <si>
    <t>DETP_NW906</t>
  </si>
  <si>
    <t>Emschermündung (Emscherkläranlage)</t>
  </si>
  <si>
    <t>Hagen (Vorhalle)</t>
  </si>
  <si>
    <t>DETP_NW1206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</si>
</sst>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Font="1" applyFill="1" applyBorder="1"/>
    <xf numFmtId="0" fontId="2" fillId="0" borderId="1" xfId="0" applyFont="1" applyFill="1" applyBorder="1" applyAlignment="1">
      <alignment horizontal="left" vertical="center" readingOrder="1"/>
    </xf>
    <xf numFmtId="0" fontId="0" fillId="0" borderId="3" xfId="0" applyFont="1" applyFill="1" applyBorder="1"/>
    <xf numFmtId="0" fontId="0" fillId="0" borderId="2" xfId="0" applyFont="1" applyFill="1" applyBorder="1"/>
    <xf numFmtId="10" fontId="0" fillId="0" borderId="1" xfId="0" applyNumberFormat="1" applyFont="1" applyFill="1" applyBorder="1"/>
    <xf numFmtId="10" fontId="0" fillId="0" borderId="3" xfId="0" applyNumberFormat="1" applyFont="1" applyFill="1" applyBorder="1"/>
    <xf numFmtId="10" fontId="0" fillId="0" borderId="2" xfId="0" applyNumberFormat="1" applyFont="1" applyFill="1" applyBorder="1"/>
    <xf numFmtId="10" fontId="0" fillId="0" borderId="6" xfId="0" applyNumberFormat="1" applyFont="1" applyFill="1" applyBorder="1"/>
    <xf numFmtId="10" fontId="0" fillId="0" borderId="5" xfId="0" applyNumberFormat="1" applyFont="1" applyFill="1" applyBorder="1"/>
    <xf numFmtId="10" fontId="2" fillId="0" borderId="1" xfId="0" applyNumberFormat="1" applyFont="1" applyFill="1" applyBorder="1" applyAlignment="1">
      <alignment horizontal="right" vertical="center" readingOrder="1"/>
    </xf>
    <xf numFmtId="10" fontId="0" fillId="0" borderId="5" xfId="0" applyNumberFormat="1" applyFont="1" applyFill="1" applyBorder="1" applyAlignment="1">
      <alignment horizontal="right"/>
    </xf>
    <xf numFmtId="0" fontId="0" fillId="0" borderId="7" xfId="0" applyFont="1" applyFill="1" applyBorder="1"/>
    <xf numFmtId="0" fontId="0" fillId="0" borderId="5" xfId="0" applyFont="1" applyFill="1" applyBorder="1"/>
    <xf numFmtId="0" fontId="0" fillId="0" borderId="8" xfId="0" applyFont="1" applyFill="1" applyBorder="1"/>
    <xf numFmtId="10" fontId="0" fillId="0" borderId="8" xfId="0" applyNumberFormat="1" applyFont="1" applyFill="1" applyBorder="1"/>
    <xf numFmtId="0" fontId="0" fillId="0" borderId="0" xfId="0" applyFont="1"/>
    <xf numFmtId="0" fontId="0" fillId="0" borderId="2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0" borderId="3" xfId="0" applyFont="1" applyFill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 readingOrder="1"/>
    </xf>
    <xf numFmtId="10" fontId="0" fillId="0" borderId="8" xfId="0" applyNumberFormat="1" applyFont="1" applyFill="1" applyBorder="1" applyAlignment="1">
      <alignment horizontal="right"/>
    </xf>
    <xf numFmtId="0" fontId="0" fillId="0" borderId="8" xfId="0" applyFont="1" applyFill="1" applyBorder="1" applyAlignment="1">
      <alignment horizontal="right"/>
    </xf>
    <xf numFmtId="0" fontId="2" fillId="0" borderId="8" xfId="0" applyFont="1" applyFill="1" applyBorder="1" applyAlignment="1">
      <alignment horizontal="left" vertical="center" readingOrder="1"/>
    </xf>
    <xf numFmtId="10" fontId="2" fillId="0" borderId="8" xfId="0" applyNumberFormat="1" applyFont="1" applyFill="1" applyBorder="1" applyAlignment="1">
      <alignment horizontal="right" vertical="center" readingOrder="1"/>
    </xf>
    <xf numFmtId="0" fontId="0" fillId="0" borderId="0" xfId="0" applyFill="1" applyAlignment="1">
      <alignment horizontal="left"/>
    </xf>
    <xf numFmtId="0" fontId="0" fillId="0" borderId="5" xfId="0" applyFont="1" applyFill="1" applyBorder="1" applyAlignment="1">
      <alignment vertical="top"/>
    </xf>
    <xf numFmtId="0" fontId="0" fillId="0" borderId="3" xfId="0" applyFont="1" applyFill="1" applyBorder="1" applyAlignment="1">
      <alignment vertical="top"/>
    </xf>
    <xf numFmtId="10" fontId="0" fillId="0" borderId="3" xfId="0" applyNumberFormat="1" applyFont="1" applyFill="1" applyBorder="1" applyAlignment="1">
      <alignment vertical="top"/>
    </xf>
    <xf numFmtId="0" fontId="0" fillId="0" borderId="3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center" readingOrder="1"/>
    </xf>
    <xf numFmtId="0" fontId="2" fillId="0" borderId="8" xfId="0" applyFont="1" applyFill="1" applyBorder="1" applyAlignment="1">
      <alignment horizontal="right" vertical="center" readingOrder="1"/>
    </xf>
    <xf numFmtId="0" fontId="0" fillId="0" borderId="6" xfId="0" applyFont="1" applyFill="1" applyBorder="1" applyAlignment="1">
      <alignment horizontal="right"/>
    </xf>
    <xf numFmtId="0" fontId="1" fillId="3" borderId="19" xfId="0" applyFont="1" applyFill="1" applyBorder="1" applyAlignment="1">
      <alignment horizontal="center" vertical="top" wrapText="1"/>
    </xf>
    <xf numFmtId="0" fontId="0" fillId="0" borderId="20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right" readingOrder="1"/>
    </xf>
    <xf numFmtId="0" fontId="0" fillId="0" borderId="0" xfId="0" applyFont="1" applyFill="1" applyBorder="1" applyAlignment="1">
      <alignment horizontal="right"/>
    </xf>
    <xf numFmtId="10" fontId="0" fillId="0" borderId="0" xfId="0" applyNumberFormat="1" applyFont="1" applyFill="1" applyBorder="1"/>
    <xf numFmtId="0" fontId="0" fillId="0" borderId="25" xfId="0" applyFont="1" applyFill="1" applyBorder="1" applyAlignment="1">
      <alignment horizontal="right"/>
    </xf>
    <xf numFmtId="10" fontId="0" fillId="0" borderId="2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right" readingOrder="1"/>
    </xf>
    <xf numFmtId="0" fontId="1" fillId="3" borderId="15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wrapText="1"/>
    </xf>
    <xf numFmtId="0" fontId="1" fillId="3" borderId="16" xfId="0" applyFont="1" applyFill="1" applyBorder="1" applyAlignment="1">
      <alignment horizontal="center" vertical="top" wrapText="1"/>
    </xf>
    <xf numFmtId="10" fontId="0" fillId="0" borderId="14" xfId="0" applyNumberFormat="1" applyFont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vertical="top"/>
    </xf>
    <xf numFmtId="0" fontId="0" fillId="0" borderId="7" xfId="0" applyFont="1" applyFill="1" applyBorder="1" applyAlignment="1">
      <alignment horizontal="right" vertical="top"/>
    </xf>
    <xf numFmtId="10" fontId="0" fillId="0" borderId="7" xfId="0" applyNumberFormat="1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/>
    </xf>
    <xf numFmtId="10" fontId="0" fillId="0" borderId="7" xfId="0" applyNumberFormat="1" applyFont="1" applyFill="1" applyBorder="1"/>
    <xf numFmtId="0" fontId="0" fillId="0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10" fontId="0" fillId="0" borderId="12" xfId="0" applyNumberFormat="1" applyFont="1" applyBorder="1" applyAlignment="1">
      <alignment horizontal="center" vertical="center"/>
    </xf>
    <xf numFmtId="10" fontId="0" fillId="0" borderId="14" xfId="0" applyNumberFormat="1" applyFont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10" fontId="0" fillId="0" borderId="10" xfId="0" applyNumberFormat="1" applyFont="1" applyBorder="1" applyAlignment="1">
      <alignment horizontal="center" vertical="center"/>
    </xf>
    <xf numFmtId="10" fontId="0" fillId="0" borderId="10" xfId="0" applyNumberFormat="1" applyFont="1" applyFill="1" applyBorder="1" applyAlignment="1">
      <alignment horizontal="center" vertical="center"/>
    </xf>
    <xf numFmtId="10" fontId="0" fillId="0" borderId="12" xfId="0" applyNumberFormat="1" applyFont="1" applyFill="1" applyBorder="1" applyAlignment="1">
      <alignment horizontal="center" vertical="center"/>
    </xf>
    <xf numFmtId="10" fontId="0" fillId="0" borderId="14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42F2-700A-424E-AFAF-20DC16E29A96}">
  <dimension ref="A1:K78"/>
  <sheetViews>
    <sheetView tabSelected="1" topLeftCell="A22" zoomScale="55" zoomScaleNormal="55" workbookViewId="0">
      <selection activeCell="D60" sqref="D60"/>
    </sheetView>
  </sheetViews>
  <sheetFormatPr baseColWidth="10" defaultRowHeight="14.5" x14ac:dyDescent="0.35"/>
  <cols>
    <col min="1" max="1" width="11.453125" style="16"/>
    <col min="2" max="2" width="31.1796875" style="16" customWidth="1"/>
    <col min="3" max="3" width="22.7265625" style="16" bestFit="1" customWidth="1"/>
    <col min="4" max="4" width="27.7265625" style="16" bestFit="1" customWidth="1"/>
    <col min="5" max="5" width="11" style="16" customWidth="1"/>
    <col min="6" max="6" width="17.81640625" style="16" customWidth="1"/>
    <col min="7" max="7" width="28" style="16" bestFit="1" customWidth="1"/>
    <col min="8" max="8" width="17.453125" style="16" customWidth="1"/>
    <col min="9" max="9" width="16.453125" style="16" customWidth="1"/>
    <col min="10" max="10" width="14.81640625" customWidth="1"/>
  </cols>
  <sheetData>
    <row r="1" spans="1:11" ht="29.25" customHeight="1" thickBot="1" x14ac:dyDescent="0.4">
      <c r="A1" s="43" t="s">
        <v>0</v>
      </c>
      <c r="B1" s="44" t="s">
        <v>1</v>
      </c>
      <c r="C1" s="44" t="s">
        <v>145</v>
      </c>
      <c r="D1" s="44" t="s">
        <v>63</v>
      </c>
      <c r="E1" s="44" t="s">
        <v>36</v>
      </c>
      <c r="F1" s="44" t="s">
        <v>3</v>
      </c>
      <c r="G1" s="44" t="s">
        <v>2</v>
      </c>
      <c r="H1" s="45" t="s">
        <v>55</v>
      </c>
      <c r="I1" s="46" t="s">
        <v>37</v>
      </c>
      <c r="J1" s="35" t="s">
        <v>129</v>
      </c>
    </row>
    <row r="2" spans="1:11" ht="15" thickBot="1" x14ac:dyDescent="0.4">
      <c r="A2" s="77" t="s">
        <v>38</v>
      </c>
      <c r="B2" s="4" t="s">
        <v>4</v>
      </c>
      <c r="C2" s="17" t="s">
        <v>33</v>
      </c>
      <c r="D2" s="17" t="s">
        <v>64</v>
      </c>
      <c r="E2" s="41">
        <v>3.2000000000000001E-2</v>
      </c>
      <c r="F2" s="17" t="s">
        <v>33</v>
      </c>
      <c r="G2" s="17" t="s">
        <v>136</v>
      </c>
      <c r="H2" s="42" t="s">
        <v>32</v>
      </c>
      <c r="I2" s="62">
        <f>SUM(E2:E5)</f>
        <v>0.14500000000000002</v>
      </c>
      <c r="J2" s="58" t="s">
        <v>128</v>
      </c>
    </row>
    <row r="3" spans="1:11" ht="15" thickBot="1" x14ac:dyDescent="0.4">
      <c r="A3" s="78"/>
      <c r="B3" s="14" t="s">
        <v>62</v>
      </c>
      <c r="C3" s="23" t="s">
        <v>33</v>
      </c>
      <c r="D3" s="23" t="s">
        <v>65</v>
      </c>
      <c r="E3" s="22">
        <v>2.5000000000000001E-2</v>
      </c>
      <c r="F3" s="23" t="s">
        <v>33</v>
      </c>
      <c r="G3" s="20" t="s">
        <v>136</v>
      </c>
      <c r="H3" s="21" t="s">
        <v>32</v>
      </c>
      <c r="I3" s="62"/>
      <c r="J3" s="59"/>
    </row>
    <row r="4" spans="1:11" ht="15" thickBot="1" x14ac:dyDescent="0.4">
      <c r="A4" s="78"/>
      <c r="B4" s="14" t="s">
        <v>39</v>
      </c>
      <c r="C4" s="23" t="s">
        <v>33</v>
      </c>
      <c r="D4" s="23" t="s">
        <v>66</v>
      </c>
      <c r="E4" s="22">
        <v>5.8000000000000003E-2</v>
      </c>
      <c r="F4" s="23" t="s">
        <v>33</v>
      </c>
      <c r="G4" s="20" t="s">
        <v>136</v>
      </c>
      <c r="H4" s="21" t="s">
        <v>32</v>
      </c>
      <c r="I4" s="62"/>
      <c r="J4" s="59"/>
    </row>
    <row r="5" spans="1:11" ht="15" thickBot="1" x14ac:dyDescent="0.4">
      <c r="A5" s="78"/>
      <c r="B5" s="14" t="s">
        <v>57</v>
      </c>
      <c r="C5" s="23" t="s">
        <v>33</v>
      </c>
      <c r="D5" s="23" t="s">
        <v>67</v>
      </c>
      <c r="E5" s="22">
        <v>0.03</v>
      </c>
      <c r="F5" s="23" t="s">
        <v>33</v>
      </c>
      <c r="G5" s="23" t="s">
        <v>136</v>
      </c>
      <c r="H5" s="37" t="s">
        <v>32</v>
      </c>
      <c r="I5" s="62"/>
      <c r="J5" s="60"/>
    </row>
    <row r="6" spans="1:11" ht="15" thickBot="1" x14ac:dyDescent="0.4">
      <c r="A6" s="79" t="s">
        <v>54</v>
      </c>
      <c r="B6" s="13" t="s">
        <v>5</v>
      </c>
      <c r="C6" s="18" t="s">
        <v>33</v>
      </c>
      <c r="D6" s="18" t="s">
        <v>68</v>
      </c>
      <c r="E6" s="9">
        <v>0.39700000000000002</v>
      </c>
      <c r="F6" s="18" t="s">
        <v>34</v>
      </c>
      <c r="G6" s="18" t="s">
        <v>138</v>
      </c>
      <c r="H6" s="18" t="s">
        <v>31</v>
      </c>
      <c r="I6" s="70">
        <f>SUM(E6:E8)</f>
        <v>0.98799999999999999</v>
      </c>
      <c r="J6" s="55" t="s">
        <v>128</v>
      </c>
    </row>
    <row r="7" spans="1:11" ht="15" thickBot="1" x14ac:dyDescent="0.4">
      <c r="A7" s="80"/>
      <c r="B7" s="1" t="s">
        <v>6</v>
      </c>
      <c r="C7" s="20" t="s">
        <v>33</v>
      </c>
      <c r="D7" s="20" t="s">
        <v>69</v>
      </c>
      <c r="E7" s="5">
        <v>0.41899999999999998</v>
      </c>
      <c r="F7" s="20" t="s">
        <v>34</v>
      </c>
      <c r="G7" s="20" t="s">
        <v>138</v>
      </c>
      <c r="H7" s="20" t="s">
        <v>31</v>
      </c>
      <c r="I7" s="62"/>
      <c r="J7" s="55"/>
    </row>
    <row r="8" spans="1:11" ht="15" thickBot="1" x14ac:dyDescent="0.4">
      <c r="A8" s="81"/>
      <c r="B8" s="12" t="s">
        <v>188</v>
      </c>
      <c r="C8" s="53" t="s">
        <v>34</v>
      </c>
      <c r="D8" s="53" t="s">
        <v>189</v>
      </c>
      <c r="E8" s="54">
        <v>0.17199999999999999</v>
      </c>
      <c r="F8" s="53" t="s">
        <v>34</v>
      </c>
      <c r="G8" s="53" t="s">
        <v>138</v>
      </c>
      <c r="H8" s="53" t="s">
        <v>31</v>
      </c>
      <c r="I8" s="63"/>
      <c r="J8" s="55"/>
      <c r="K8" s="26"/>
    </row>
    <row r="9" spans="1:11" ht="15" thickBot="1" x14ac:dyDescent="0.4">
      <c r="A9" s="87" t="s">
        <v>53</v>
      </c>
      <c r="B9" s="13" t="s">
        <v>83</v>
      </c>
      <c r="C9" s="18" t="s">
        <v>33</v>
      </c>
      <c r="D9" s="18" t="s">
        <v>70</v>
      </c>
      <c r="E9" s="9">
        <v>5.2999999999999999E-2</v>
      </c>
      <c r="F9" s="18" t="s">
        <v>34</v>
      </c>
      <c r="G9" s="18" t="s">
        <v>139</v>
      </c>
      <c r="H9" s="18" t="s">
        <v>32</v>
      </c>
      <c r="I9" s="70">
        <f>SUM(E9:E15)</f>
        <v>0.18070000000000003</v>
      </c>
      <c r="J9" s="55" t="s">
        <v>128</v>
      </c>
    </row>
    <row r="10" spans="1:11" ht="15" thickBot="1" x14ac:dyDescent="0.4">
      <c r="A10" s="88"/>
      <c r="B10" s="1" t="s">
        <v>84</v>
      </c>
      <c r="C10" s="20" t="s">
        <v>33</v>
      </c>
      <c r="D10" s="20" t="s">
        <v>71</v>
      </c>
      <c r="E10" s="5">
        <v>4.3999999999999997E-2</v>
      </c>
      <c r="F10" s="20" t="s">
        <v>34</v>
      </c>
      <c r="G10" s="20" t="s">
        <v>61</v>
      </c>
      <c r="H10" s="20" t="s">
        <v>32</v>
      </c>
      <c r="I10" s="62"/>
      <c r="J10" s="55"/>
    </row>
    <row r="11" spans="1:11" ht="15" thickBot="1" x14ac:dyDescent="0.4">
      <c r="A11" s="88"/>
      <c r="B11" s="1" t="s">
        <v>26</v>
      </c>
      <c r="C11" s="20" t="s">
        <v>33</v>
      </c>
      <c r="D11" s="20" t="s">
        <v>72</v>
      </c>
      <c r="E11" s="5">
        <v>8.9999999999999993E-3</v>
      </c>
      <c r="F11" s="20" t="s">
        <v>34</v>
      </c>
      <c r="G11" s="20" t="s">
        <v>139</v>
      </c>
      <c r="H11" s="20" t="s">
        <v>32</v>
      </c>
      <c r="I11" s="62"/>
      <c r="J11" s="55"/>
    </row>
    <row r="12" spans="1:11" ht="15" thickBot="1" x14ac:dyDescent="0.4">
      <c r="A12" s="88"/>
      <c r="B12" s="1" t="s">
        <v>27</v>
      </c>
      <c r="C12" s="20" t="s">
        <v>33</v>
      </c>
      <c r="D12" s="20" t="s">
        <v>73</v>
      </c>
      <c r="E12" s="5">
        <v>1.4E-2</v>
      </c>
      <c r="F12" s="20" t="s">
        <v>34</v>
      </c>
      <c r="G12" s="20" t="s">
        <v>61</v>
      </c>
      <c r="H12" s="20" t="s">
        <v>32</v>
      </c>
      <c r="I12" s="62"/>
      <c r="J12" s="55"/>
    </row>
    <row r="13" spans="1:11" ht="15" thickBot="1" x14ac:dyDescent="0.4">
      <c r="A13" s="88"/>
      <c r="B13" s="1" t="s">
        <v>28</v>
      </c>
      <c r="C13" s="20" t="s">
        <v>33</v>
      </c>
      <c r="D13" s="20" t="s">
        <v>74</v>
      </c>
      <c r="E13" s="5">
        <v>1.0999999999999999E-2</v>
      </c>
      <c r="F13" s="20" t="s">
        <v>34</v>
      </c>
      <c r="G13" s="20" t="s">
        <v>139</v>
      </c>
      <c r="H13" s="20" t="s">
        <v>32</v>
      </c>
      <c r="I13" s="62"/>
      <c r="J13" s="55"/>
    </row>
    <row r="14" spans="1:11" ht="15" thickBot="1" x14ac:dyDescent="0.4">
      <c r="A14" s="78"/>
      <c r="B14" s="14" t="s">
        <v>35</v>
      </c>
      <c r="C14" s="23" t="s">
        <v>33</v>
      </c>
      <c r="D14" s="23" t="s">
        <v>76</v>
      </c>
      <c r="E14" s="15">
        <v>3.8699999999999998E-2</v>
      </c>
      <c r="F14" s="20" t="s">
        <v>34</v>
      </c>
      <c r="G14" s="20" t="s">
        <v>139</v>
      </c>
      <c r="H14" s="20" t="s">
        <v>32</v>
      </c>
      <c r="I14" s="62"/>
      <c r="J14" s="55"/>
    </row>
    <row r="15" spans="1:11" ht="15" thickBot="1" x14ac:dyDescent="0.4">
      <c r="A15" s="78"/>
      <c r="B15" s="14" t="s">
        <v>29</v>
      </c>
      <c r="C15" s="23" t="s">
        <v>33</v>
      </c>
      <c r="D15" s="23" t="s">
        <v>75</v>
      </c>
      <c r="E15" s="15">
        <v>1.0999999999999999E-2</v>
      </c>
      <c r="F15" s="23" t="s">
        <v>34</v>
      </c>
      <c r="G15" s="23" t="s">
        <v>139</v>
      </c>
      <c r="H15" s="23" t="s">
        <v>32</v>
      </c>
      <c r="I15" s="62"/>
      <c r="J15" s="61"/>
    </row>
    <row r="16" spans="1:11" x14ac:dyDescent="0.35">
      <c r="A16" s="90" t="s">
        <v>52</v>
      </c>
      <c r="B16" s="13" t="s">
        <v>7</v>
      </c>
      <c r="C16" s="18" t="s">
        <v>33</v>
      </c>
      <c r="D16" s="18" t="s">
        <v>77</v>
      </c>
      <c r="E16" s="9">
        <v>4.3999999999999997E-2</v>
      </c>
      <c r="F16" s="18" t="s">
        <v>34</v>
      </c>
      <c r="G16" s="18" t="s">
        <v>140</v>
      </c>
      <c r="H16" s="18" t="s">
        <v>32</v>
      </c>
      <c r="I16" s="71">
        <f>SUM(E16:E35)</f>
        <v>0.28150000000000008</v>
      </c>
      <c r="J16" s="67" t="s">
        <v>128</v>
      </c>
    </row>
    <row r="17" spans="1:10" x14ac:dyDescent="0.35">
      <c r="A17" s="80"/>
      <c r="B17" s="1" t="s">
        <v>58</v>
      </c>
      <c r="C17" s="20" t="s">
        <v>33</v>
      </c>
      <c r="D17" s="20" t="s">
        <v>78</v>
      </c>
      <c r="E17" s="5">
        <v>9.1999999999999998E-2</v>
      </c>
      <c r="F17" s="20" t="s">
        <v>34</v>
      </c>
      <c r="G17" s="20" t="s">
        <v>140</v>
      </c>
      <c r="H17" s="20" t="s">
        <v>32</v>
      </c>
      <c r="I17" s="72"/>
      <c r="J17" s="68"/>
    </row>
    <row r="18" spans="1:10" x14ac:dyDescent="0.35">
      <c r="A18" s="80"/>
      <c r="B18" s="1" t="s">
        <v>8</v>
      </c>
      <c r="C18" s="20" t="s">
        <v>33</v>
      </c>
      <c r="D18" s="20" t="s">
        <v>79</v>
      </c>
      <c r="E18" s="5">
        <v>2.8000000000000001E-2</v>
      </c>
      <c r="F18" s="20" t="s">
        <v>34</v>
      </c>
      <c r="G18" s="20" t="s">
        <v>140</v>
      </c>
      <c r="H18" s="20" t="s">
        <v>32</v>
      </c>
      <c r="I18" s="72"/>
      <c r="J18" s="68"/>
    </row>
    <row r="19" spans="1:10" x14ac:dyDescent="0.35">
      <c r="A19" s="80"/>
      <c r="B19" s="1" t="s">
        <v>180</v>
      </c>
      <c r="C19" s="20" t="s">
        <v>33</v>
      </c>
      <c r="D19" s="20" t="s">
        <v>80</v>
      </c>
      <c r="E19" s="5">
        <v>2.1000000000000001E-2</v>
      </c>
      <c r="F19" s="20" t="s">
        <v>34</v>
      </c>
      <c r="G19" s="20" t="s">
        <v>140</v>
      </c>
      <c r="H19" s="20" t="s">
        <v>32</v>
      </c>
      <c r="I19" s="72"/>
      <c r="J19" s="68"/>
    </row>
    <row r="20" spans="1:10" x14ac:dyDescent="0.35">
      <c r="A20" s="80"/>
      <c r="B20" s="1" t="s">
        <v>155</v>
      </c>
      <c r="C20" s="20" t="s">
        <v>34</v>
      </c>
      <c r="D20" s="20" t="s">
        <v>181</v>
      </c>
      <c r="E20" s="5">
        <v>3.0000000000000001E-3</v>
      </c>
      <c r="F20" s="20" t="s">
        <v>34</v>
      </c>
      <c r="G20" s="20" t="s">
        <v>140</v>
      </c>
      <c r="H20" s="20" t="s">
        <v>32</v>
      </c>
      <c r="I20" s="72"/>
      <c r="J20" s="68"/>
    </row>
    <row r="21" spans="1:10" x14ac:dyDescent="0.35">
      <c r="A21" s="80"/>
      <c r="B21" t="s">
        <v>163</v>
      </c>
      <c r="C21" s="20" t="s">
        <v>34</v>
      </c>
      <c r="D21" s="20" t="s">
        <v>182</v>
      </c>
      <c r="E21" s="5">
        <v>2E-3</v>
      </c>
      <c r="F21" s="20" t="s">
        <v>34</v>
      </c>
      <c r="G21" s="20" t="s">
        <v>140</v>
      </c>
      <c r="H21" s="20" t="s">
        <v>32</v>
      </c>
      <c r="I21" s="72"/>
      <c r="J21" s="68"/>
    </row>
    <row r="22" spans="1:10" x14ac:dyDescent="0.35">
      <c r="A22" s="80"/>
      <c r="B22" s="1" t="s">
        <v>156</v>
      </c>
      <c r="C22" s="20" t="s">
        <v>34</v>
      </c>
      <c r="D22" s="20" t="s">
        <v>178</v>
      </c>
      <c r="E22" s="5">
        <v>4.0000000000000001E-3</v>
      </c>
      <c r="F22" s="20" t="s">
        <v>34</v>
      </c>
      <c r="G22" s="20" t="s">
        <v>140</v>
      </c>
      <c r="H22" s="20" t="s">
        <v>32</v>
      </c>
      <c r="I22" s="72"/>
      <c r="J22" s="68"/>
    </row>
    <row r="23" spans="1:10" x14ac:dyDescent="0.35">
      <c r="A23" s="80"/>
      <c r="B23" s="1" t="s">
        <v>176</v>
      </c>
      <c r="C23" s="20" t="s">
        <v>34</v>
      </c>
      <c r="D23" s="20" t="s">
        <v>175</v>
      </c>
      <c r="E23" s="5">
        <v>1.2999999999999999E-2</v>
      </c>
      <c r="F23" s="20" t="s">
        <v>34</v>
      </c>
      <c r="G23" s="20" t="s">
        <v>140</v>
      </c>
      <c r="H23" s="20" t="s">
        <v>32</v>
      </c>
      <c r="I23" s="72"/>
      <c r="J23" s="68"/>
    </row>
    <row r="24" spans="1:10" x14ac:dyDescent="0.35">
      <c r="A24" s="80"/>
      <c r="B24" s="1" t="s">
        <v>157</v>
      </c>
      <c r="C24" s="20" t="s">
        <v>34</v>
      </c>
      <c r="D24" s="20" t="s">
        <v>183</v>
      </c>
      <c r="E24" s="5">
        <v>5.0000000000000001E-3</v>
      </c>
      <c r="F24" s="20" t="s">
        <v>34</v>
      </c>
      <c r="G24" s="20" t="s">
        <v>140</v>
      </c>
      <c r="H24" s="20" t="s">
        <v>32</v>
      </c>
      <c r="I24" s="72"/>
      <c r="J24" s="68"/>
    </row>
    <row r="25" spans="1:10" x14ac:dyDescent="0.35">
      <c r="A25" s="80"/>
      <c r="B25" s="1" t="s">
        <v>170</v>
      </c>
      <c r="C25" s="20" t="s">
        <v>34</v>
      </c>
      <c r="D25" s="20" t="s">
        <v>169</v>
      </c>
      <c r="E25" s="5">
        <v>4.0000000000000001E-3</v>
      </c>
      <c r="F25" s="20" t="s">
        <v>34</v>
      </c>
      <c r="G25" s="20" t="s">
        <v>140</v>
      </c>
      <c r="H25" s="20" t="s">
        <v>32</v>
      </c>
      <c r="I25" s="72"/>
      <c r="J25" s="68"/>
    </row>
    <row r="26" spans="1:10" x14ac:dyDescent="0.35">
      <c r="A26" s="80"/>
      <c r="B26" s="1" t="s">
        <v>158</v>
      </c>
      <c r="C26" s="20" t="s">
        <v>34</v>
      </c>
      <c r="D26" s="20" t="s">
        <v>168</v>
      </c>
      <c r="E26" s="5">
        <v>4.0000000000000001E-3</v>
      </c>
      <c r="F26" s="20" t="s">
        <v>34</v>
      </c>
      <c r="G26" s="20" t="s">
        <v>140</v>
      </c>
      <c r="H26" s="20" t="s">
        <v>32</v>
      </c>
      <c r="I26" s="72"/>
      <c r="J26" s="68"/>
    </row>
    <row r="27" spans="1:10" x14ac:dyDescent="0.35">
      <c r="A27" s="80"/>
      <c r="B27" s="1" t="s">
        <v>185</v>
      </c>
      <c r="C27" s="20" t="s">
        <v>34</v>
      </c>
      <c r="D27" s="20" t="s">
        <v>184</v>
      </c>
      <c r="E27" s="5">
        <v>3.0000000000000001E-3</v>
      </c>
      <c r="F27" s="20" t="s">
        <v>34</v>
      </c>
      <c r="G27" s="20" t="s">
        <v>140</v>
      </c>
      <c r="H27" s="20" t="s">
        <v>32</v>
      </c>
      <c r="I27" s="72"/>
      <c r="J27" s="68"/>
    </row>
    <row r="28" spans="1:10" x14ac:dyDescent="0.35">
      <c r="A28" s="80"/>
      <c r="B28" s="1" t="s">
        <v>159</v>
      </c>
      <c r="C28" s="20" t="s">
        <v>34</v>
      </c>
      <c r="D28" s="20" t="s">
        <v>174</v>
      </c>
      <c r="E28" s="5">
        <v>7.0000000000000001E-3</v>
      </c>
      <c r="F28" s="20" t="s">
        <v>34</v>
      </c>
      <c r="G28" s="20" t="s">
        <v>140</v>
      </c>
      <c r="H28" s="20" t="s">
        <v>32</v>
      </c>
      <c r="I28" s="72"/>
      <c r="J28" s="68"/>
    </row>
    <row r="29" spans="1:10" x14ac:dyDescent="0.35">
      <c r="A29" s="80"/>
      <c r="B29" s="1" t="s">
        <v>160</v>
      </c>
      <c r="C29" s="20" t="s">
        <v>34</v>
      </c>
      <c r="D29" s="20" t="s">
        <v>173</v>
      </c>
      <c r="E29" s="5">
        <v>7.0000000000000001E-3</v>
      </c>
      <c r="F29" s="20" t="s">
        <v>34</v>
      </c>
      <c r="G29" s="20" t="s">
        <v>140</v>
      </c>
      <c r="H29" s="20" t="s">
        <v>32</v>
      </c>
      <c r="I29" s="72"/>
      <c r="J29" s="68"/>
    </row>
    <row r="30" spans="1:10" x14ac:dyDescent="0.35">
      <c r="A30" s="80"/>
      <c r="B30" s="1" t="s">
        <v>161</v>
      </c>
      <c r="C30" s="20" t="s">
        <v>34</v>
      </c>
      <c r="D30" s="20" t="s">
        <v>179</v>
      </c>
      <c r="E30" s="5">
        <v>1.2999999999999999E-2</v>
      </c>
      <c r="F30" s="20" t="s">
        <v>34</v>
      </c>
      <c r="G30" s="20" t="s">
        <v>140</v>
      </c>
      <c r="H30" s="20" t="s">
        <v>32</v>
      </c>
      <c r="I30" s="72"/>
      <c r="J30" s="68"/>
    </row>
    <row r="31" spans="1:10" x14ac:dyDescent="0.35">
      <c r="A31" s="80"/>
      <c r="B31" s="1" t="s">
        <v>162</v>
      </c>
      <c r="C31" s="20" t="s">
        <v>34</v>
      </c>
      <c r="D31" s="20" t="s">
        <v>167</v>
      </c>
      <c r="E31" s="5">
        <v>8.0000000000000002E-3</v>
      </c>
      <c r="F31" s="20" t="s">
        <v>34</v>
      </c>
      <c r="G31" s="20" t="s">
        <v>140</v>
      </c>
      <c r="H31" s="20" t="s">
        <v>32</v>
      </c>
      <c r="I31" s="72"/>
      <c r="J31" s="68"/>
    </row>
    <row r="32" spans="1:10" x14ac:dyDescent="0.35">
      <c r="A32" s="80"/>
      <c r="B32" s="1" t="s">
        <v>164</v>
      </c>
      <c r="C32" s="20" t="s">
        <v>34</v>
      </c>
      <c r="D32" s="20" t="s">
        <v>177</v>
      </c>
      <c r="E32" s="5">
        <v>6.0000000000000001E-3</v>
      </c>
      <c r="F32" s="20" t="s">
        <v>34</v>
      </c>
      <c r="G32" s="20" t="s">
        <v>140</v>
      </c>
      <c r="H32" s="20" t="s">
        <v>32</v>
      </c>
      <c r="I32" s="72"/>
      <c r="J32" s="68"/>
    </row>
    <row r="33" spans="1:10" x14ac:dyDescent="0.35">
      <c r="A33" s="80"/>
      <c r="B33" s="1" t="s">
        <v>165</v>
      </c>
      <c r="C33" s="20" t="s">
        <v>34</v>
      </c>
      <c r="D33" s="20" t="s">
        <v>171</v>
      </c>
      <c r="E33" s="5">
        <v>1E-3</v>
      </c>
      <c r="F33" s="20" t="s">
        <v>34</v>
      </c>
      <c r="G33" s="20" t="s">
        <v>140</v>
      </c>
      <c r="H33" s="20" t="s">
        <v>32</v>
      </c>
      <c r="I33" s="72"/>
      <c r="J33" s="68"/>
    </row>
    <row r="34" spans="1:10" x14ac:dyDescent="0.35">
      <c r="A34" s="80"/>
      <c r="B34" s="1" t="s">
        <v>166</v>
      </c>
      <c r="C34" s="20" t="s">
        <v>34</v>
      </c>
      <c r="D34" s="20" t="s">
        <v>172</v>
      </c>
      <c r="E34" s="5">
        <v>5.0000000000000001E-4</v>
      </c>
      <c r="F34" s="20" t="s">
        <v>34</v>
      </c>
      <c r="G34" s="20" t="s">
        <v>140</v>
      </c>
      <c r="H34" s="20" t="s">
        <v>32</v>
      </c>
      <c r="I34" s="72"/>
      <c r="J34" s="68"/>
    </row>
    <row r="35" spans="1:10" ht="15" thickBot="1" x14ac:dyDescent="0.4">
      <c r="A35" s="91"/>
      <c r="B35" s="3" t="s">
        <v>186</v>
      </c>
      <c r="C35" s="19" t="s">
        <v>34</v>
      </c>
      <c r="D35" s="19" t="s">
        <v>187</v>
      </c>
      <c r="E35" s="6">
        <v>1.6E-2</v>
      </c>
      <c r="F35" s="19" t="s">
        <v>34</v>
      </c>
      <c r="G35" s="19" t="s">
        <v>140</v>
      </c>
      <c r="H35" s="19" t="s">
        <v>32</v>
      </c>
      <c r="I35" s="73"/>
      <c r="J35" s="57"/>
    </row>
    <row r="36" spans="1:10" ht="15" thickBot="1" x14ac:dyDescent="0.4">
      <c r="A36" s="49" t="s">
        <v>40</v>
      </c>
      <c r="B36" s="50" t="s">
        <v>82</v>
      </c>
      <c r="C36" s="51" t="s">
        <v>33</v>
      </c>
      <c r="D36" s="51" t="s">
        <v>81</v>
      </c>
      <c r="E36" s="52">
        <v>0.86</v>
      </c>
      <c r="F36" s="51" t="s">
        <v>33</v>
      </c>
      <c r="G36" s="51" t="s">
        <v>59</v>
      </c>
      <c r="H36" s="51" t="s">
        <v>32</v>
      </c>
      <c r="I36" s="47">
        <f>SUM(E36)</f>
        <v>0.86</v>
      </c>
      <c r="J36" s="48" t="s">
        <v>127</v>
      </c>
    </row>
    <row r="37" spans="1:10" ht="15" thickBot="1" x14ac:dyDescent="0.4">
      <c r="A37" s="79" t="s">
        <v>51</v>
      </c>
      <c r="B37" s="13" t="s">
        <v>131</v>
      </c>
      <c r="C37" s="18" t="s">
        <v>33</v>
      </c>
      <c r="D37" s="18" t="s">
        <v>130</v>
      </c>
      <c r="E37" s="9">
        <v>2.8000000000000001E-2</v>
      </c>
      <c r="F37" s="18" t="s">
        <v>33</v>
      </c>
      <c r="G37" s="18" t="s">
        <v>59</v>
      </c>
      <c r="H37" s="18" t="s">
        <v>32</v>
      </c>
      <c r="I37" s="70">
        <f>SUM(E37:E40)</f>
        <v>0.27300000000000002</v>
      </c>
      <c r="J37" s="59" t="s">
        <v>127</v>
      </c>
    </row>
    <row r="38" spans="1:10" ht="15" thickBot="1" x14ac:dyDescent="0.4">
      <c r="A38" s="82"/>
      <c r="B38" s="1" t="s">
        <v>132</v>
      </c>
      <c r="C38" s="20" t="s">
        <v>33</v>
      </c>
      <c r="D38" s="20" t="s">
        <v>133</v>
      </c>
      <c r="E38" s="5">
        <v>0.111</v>
      </c>
      <c r="F38" s="20" t="s">
        <v>33</v>
      </c>
      <c r="G38" s="20" t="s">
        <v>59</v>
      </c>
      <c r="H38" s="20" t="s">
        <v>32</v>
      </c>
      <c r="I38" s="62"/>
      <c r="J38" s="59"/>
    </row>
    <row r="39" spans="1:10" ht="15" thickBot="1" x14ac:dyDescent="0.4">
      <c r="A39" s="83"/>
      <c r="B39" s="1" t="s">
        <v>135</v>
      </c>
      <c r="C39" s="20" t="s">
        <v>33</v>
      </c>
      <c r="D39" s="20" t="s">
        <v>134</v>
      </c>
      <c r="E39" s="5">
        <v>9.1999999999999998E-2</v>
      </c>
      <c r="F39" s="20" t="s">
        <v>33</v>
      </c>
      <c r="G39" s="20" t="s">
        <v>59</v>
      </c>
      <c r="H39" s="20" t="s">
        <v>32</v>
      </c>
      <c r="I39" s="62"/>
      <c r="J39" s="59"/>
    </row>
    <row r="40" spans="1:10" ht="15" thickBot="1" x14ac:dyDescent="0.4">
      <c r="A40" s="81"/>
      <c r="B40" s="3" t="s">
        <v>85</v>
      </c>
      <c r="C40" s="19" t="s">
        <v>33</v>
      </c>
      <c r="D40" s="19" t="s">
        <v>86</v>
      </c>
      <c r="E40" s="6">
        <v>4.2000000000000003E-2</v>
      </c>
      <c r="F40" s="19" t="s">
        <v>33</v>
      </c>
      <c r="G40" s="19" t="s">
        <v>59</v>
      </c>
      <c r="H40" s="19" t="s">
        <v>32</v>
      </c>
      <c r="I40" s="63"/>
      <c r="J40" s="59"/>
    </row>
    <row r="41" spans="1:10" ht="15" thickBot="1" x14ac:dyDescent="0.4">
      <c r="A41" s="87" t="s">
        <v>41</v>
      </c>
      <c r="B41" s="27" t="s">
        <v>89</v>
      </c>
      <c r="C41" s="31" t="s">
        <v>33</v>
      </c>
      <c r="D41" s="31" t="s">
        <v>88</v>
      </c>
      <c r="E41" s="9">
        <v>0.76700000000000002</v>
      </c>
      <c r="F41" s="18" t="s">
        <v>34</v>
      </c>
      <c r="G41" s="18" t="s">
        <v>141</v>
      </c>
      <c r="H41" s="18" t="s">
        <v>31</v>
      </c>
      <c r="I41" s="70">
        <f>SUM(E41:E42)</f>
        <v>1.107</v>
      </c>
      <c r="J41" s="55" t="s">
        <v>128</v>
      </c>
    </row>
    <row r="42" spans="1:10" ht="15" thickBot="1" x14ac:dyDescent="0.4">
      <c r="A42" s="89"/>
      <c r="B42" s="28" t="s">
        <v>90</v>
      </c>
      <c r="C42" s="30" t="s">
        <v>33</v>
      </c>
      <c r="D42" s="30" t="s">
        <v>87</v>
      </c>
      <c r="E42" s="29">
        <v>0.34</v>
      </c>
      <c r="F42" s="30" t="s">
        <v>34</v>
      </c>
      <c r="G42" s="19" t="s">
        <v>141</v>
      </c>
      <c r="H42" s="30" t="s">
        <v>31</v>
      </c>
      <c r="I42" s="63"/>
      <c r="J42" s="55"/>
    </row>
    <row r="43" spans="1:10" ht="15" thickBot="1" x14ac:dyDescent="0.4">
      <c r="A43" s="79" t="s">
        <v>50</v>
      </c>
      <c r="B43" s="13" t="s">
        <v>25</v>
      </c>
      <c r="C43" s="18" t="s">
        <v>33</v>
      </c>
      <c r="D43" s="18" t="s">
        <v>91</v>
      </c>
      <c r="E43" s="9">
        <v>0.14799999999999999</v>
      </c>
      <c r="F43" s="18" t="s">
        <v>33</v>
      </c>
      <c r="G43" s="18" t="s">
        <v>137</v>
      </c>
      <c r="H43" s="18" t="s">
        <v>32</v>
      </c>
      <c r="I43" s="70">
        <f>SUM(E43:E44)</f>
        <v>0.22699999999999998</v>
      </c>
      <c r="J43" s="56" t="s">
        <v>127</v>
      </c>
    </row>
    <row r="44" spans="1:10" ht="15" thickBot="1" x14ac:dyDescent="0.4">
      <c r="A44" s="81"/>
      <c r="B44" s="3" t="s">
        <v>24</v>
      </c>
      <c r="C44" s="19" t="s">
        <v>33</v>
      </c>
      <c r="D44" s="19" t="s">
        <v>92</v>
      </c>
      <c r="E44" s="6">
        <v>7.9000000000000001E-2</v>
      </c>
      <c r="F44" s="19" t="s">
        <v>33</v>
      </c>
      <c r="G44" s="19" t="s">
        <v>137</v>
      </c>
      <c r="H44" s="19" t="s">
        <v>32</v>
      </c>
      <c r="I44" s="63"/>
      <c r="J44" s="56"/>
    </row>
    <row r="45" spans="1:10" ht="15" thickBot="1" x14ac:dyDescent="0.4">
      <c r="A45" s="82" t="s">
        <v>49</v>
      </c>
      <c r="B45" s="4" t="s">
        <v>30</v>
      </c>
      <c r="C45" s="17" t="s">
        <v>33</v>
      </c>
      <c r="D45" s="18" t="s">
        <v>93</v>
      </c>
      <c r="E45" s="39">
        <v>5.3999999999999999E-2</v>
      </c>
      <c r="F45" s="40" t="s">
        <v>34</v>
      </c>
      <c r="G45" s="38" t="s">
        <v>143</v>
      </c>
      <c r="H45" s="17" t="s">
        <v>32</v>
      </c>
      <c r="I45" s="62">
        <f>SUM(E45:E50)</f>
        <v>0.184</v>
      </c>
      <c r="J45" s="57" t="s">
        <v>128</v>
      </c>
    </row>
    <row r="46" spans="1:10" ht="15" thickBot="1" x14ac:dyDescent="0.4">
      <c r="A46" s="83"/>
      <c r="B46" s="1" t="s">
        <v>9</v>
      </c>
      <c r="C46" s="20" t="s">
        <v>33</v>
      </c>
      <c r="D46" s="20" t="s">
        <v>96</v>
      </c>
      <c r="E46" s="5">
        <v>3.4000000000000002E-2</v>
      </c>
      <c r="F46" s="20" t="s">
        <v>34</v>
      </c>
      <c r="G46" s="20" t="s">
        <v>143</v>
      </c>
      <c r="H46" s="20" t="s">
        <v>32</v>
      </c>
      <c r="I46" s="62"/>
      <c r="J46" s="56"/>
    </row>
    <row r="47" spans="1:10" ht="15" thickBot="1" x14ac:dyDescent="0.4">
      <c r="A47" s="83"/>
      <c r="B47" s="1" t="s">
        <v>94</v>
      </c>
      <c r="C47" s="20" t="s">
        <v>33</v>
      </c>
      <c r="D47" s="20" t="s">
        <v>95</v>
      </c>
      <c r="E47" s="5">
        <v>3.6999999999999998E-2</v>
      </c>
      <c r="F47" s="20" t="s">
        <v>34</v>
      </c>
      <c r="G47" s="20" t="s">
        <v>143</v>
      </c>
      <c r="H47" s="20" t="s">
        <v>32</v>
      </c>
      <c r="I47" s="62"/>
      <c r="J47" s="56"/>
    </row>
    <row r="48" spans="1:10" ht="15" thickBot="1" x14ac:dyDescent="0.4">
      <c r="A48" s="83"/>
      <c r="B48" s="1" t="s">
        <v>10</v>
      </c>
      <c r="C48" s="20" t="s">
        <v>33</v>
      </c>
      <c r="D48" s="20" t="s">
        <v>97</v>
      </c>
      <c r="E48" s="5">
        <v>2.1000000000000001E-2</v>
      </c>
      <c r="F48" s="20" t="s">
        <v>34</v>
      </c>
      <c r="G48" s="20" t="s">
        <v>143</v>
      </c>
      <c r="H48" s="20" t="s">
        <v>32</v>
      </c>
      <c r="I48" s="62"/>
      <c r="J48" s="56"/>
    </row>
    <row r="49" spans="1:10" ht="15" thickBot="1" x14ac:dyDescent="0.4">
      <c r="A49" s="84"/>
      <c r="B49" s="14" t="s">
        <v>11</v>
      </c>
      <c r="C49" s="23" t="s">
        <v>33</v>
      </c>
      <c r="D49" s="23" t="s">
        <v>98</v>
      </c>
      <c r="E49" s="15">
        <v>2.1000000000000001E-2</v>
      </c>
      <c r="F49" s="20" t="s">
        <v>34</v>
      </c>
      <c r="G49" s="20" t="s">
        <v>143</v>
      </c>
      <c r="H49" s="20" t="s">
        <v>32</v>
      </c>
      <c r="I49" s="62"/>
      <c r="J49" s="56"/>
    </row>
    <row r="50" spans="1:10" ht="15" thickBot="1" x14ac:dyDescent="0.4">
      <c r="A50" s="81"/>
      <c r="B50" s="3" t="s">
        <v>146</v>
      </c>
      <c r="C50" s="19" t="s">
        <v>34</v>
      </c>
      <c r="D50" s="19" t="s">
        <v>147</v>
      </c>
      <c r="E50" s="6">
        <v>1.7000000000000001E-2</v>
      </c>
      <c r="F50" s="20" t="s">
        <v>34</v>
      </c>
      <c r="G50" s="20" t="s">
        <v>143</v>
      </c>
      <c r="H50" s="19" t="s">
        <v>32</v>
      </c>
      <c r="I50" s="63"/>
      <c r="J50" s="56"/>
    </row>
    <row r="51" spans="1:10" x14ac:dyDescent="0.35">
      <c r="A51" s="74" t="s">
        <v>48</v>
      </c>
      <c r="B51" s="13" t="s">
        <v>101</v>
      </c>
      <c r="C51" s="18" t="s">
        <v>33</v>
      </c>
      <c r="D51" s="18" t="s">
        <v>100</v>
      </c>
      <c r="E51" s="11">
        <v>4.7E-2</v>
      </c>
      <c r="F51" s="18" t="s">
        <v>33</v>
      </c>
      <c r="G51" s="18" t="s">
        <v>59</v>
      </c>
      <c r="H51" s="17" t="s">
        <v>32</v>
      </c>
      <c r="I51" s="62">
        <f>SUM(E51:E60)</f>
        <v>0.22500000000000006</v>
      </c>
      <c r="J51" s="36" t="s">
        <v>127</v>
      </c>
    </row>
    <row r="52" spans="1:10" x14ac:dyDescent="0.35">
      <c r="A52" s="85"/>
      <c r="B52" s="2" t="s">
        <v>13</v>
      </c>
      <c r="C52" s="32" t="s">
        <v>33</v>
      </c>
      <c r="D52" s="32" t="s">
        <v>103</v>
      </c>
      <c r="E52" s="10">
        <v>2.3E-2</v>
      </c>
      <c r="F52" s="20" t="s">
        <v>33</v>
      </c>
      <c r="G52" s="20" t="s">
        <v>59</v>
      </c>
      <c r="H52" s="20" t="s">
        <v>32</v>
      </c>
      <c r="I52" s="62"/>
      <c r="J52" s="36" t="s">
        <v>127</v>
      </c>
    </row>
    <row r="53" spans="1:10" x14ac:dyDescent="0.35">
      <c r="A53" s="75"/>
      <c r="B53" s="4" t="s">
        <v>196</v>
      </c>
      <c r="C53" s="17" t="s">
        <v>33</v>
      </c>
      <c r="D53" s="17" t="s">
        <v>99</v>
      </c>
      <c r="E53" s="7">
        <v>0.05</v>
      </c>
      <c r="F53" s="17" t="s">
        <v>34</v>
      </c>
      <c r="G53" s="17" t="s">
        <v>60</v>
      </c>
      <c r="H53" s="17" t="s">
        <v>32</v>
      </c>
      <c r="I53" s="62"/>
      <c r="J53" s="64" t="s">
        <v>148</v>
      </c>
    </row>
    <row r="54" spans="1:10" x14ac:dyDescent="0.35">
      <c r="A54" s="75"/>
      <c r="B54" s="2" t="s">
        <v>12</v>
      </c>
      <c r="C54" s="32" t="s">
        <v>33</v>
      </c>
      <c r="D54" s="32" t="s">
        <v>102</v>
      </c>
      <c r="E54" s="10">
        <v>2.1999999999999999E-2</v>
      </c>
      <c r="F54" s="20" t="s">
        <v>34</v>
      </c>
      <c r="G54" s="20" t="s">
        <v>60</v>
      </c>
      <c r="H54" s="20" t="s">
        <v>32</v>
      </c>
      <c r="I54" s="62"/>
      <c r="J54" s="65"/>
    </row>
    <row r="55" spans="1:10" x14ac:dyDescent="0.35">
      <c r="A55" s="75"/>
      <c r="B55" s="24" t="s">
        <v>14</v>
      </c>
      <c r="C55" s="33" t="s">
        <v>33</v>
      </c>
      <c r="D55" s="33" t="s">
        <v>104</v>
      </c>
      <c r="E55" s="25">
        <v>0.04</v>
      </c>
      <c r="F55" s="23" t="s">
        <v>34</v>
      </c>
      <c r="G55" s="23" t="s">
        <v>60</v>
      </c>
      <c r="H55" s="23" t="s">
        <v>32</v>
      </c>
      <c r="I55" s="62"/>
      <c r="J55" s="66"/>
    </row>
    <row r="56" spans="1:10" x14ac:dyDescent="0.35">
      <c r="A56" s="86"/>
      <c r="B56" s="24" t="s">
        <v>190</v>
      </c>
      <c r="C56" s="33" t="s">
        <v>34</v>
      </c>
      <c r="D56" s="33" t="s">
        <v>195</v>
      </c>
      <c r="E56" s="25">
        <v>1.2999999999999999E-2</v>
      </c>
      <c r="F56" s="23" t="s">
        <v>34</v>
      </c>
      <c r="G56" s="23" t="s">
        <v>60</v>
      </c>
      <c r="H56" s="23" t="s">
        <v>32</v>
      </c>
      <c r="I56" s="62"/>
      <c r="J56" s="65" t="s">
        <v>151</v>
      </c>
    </row>
    <row r="57" spans="1:10" x14ac:dyDescent="0.35">
      <c r="A57" s="86"/>
      <c r="B57" s="24" t="s">
        <v>191</v>
      </c>
      <c r="C57" s="33" t="s">
        <v>34</v>
      </c>
      <c r="D57" s="33" t="s">
        <v>193</v>
      </c>
      <c r="E57" s="25">
        <v>6.0000000000000001E-3</v>
      </c>
      <c r="F57" s="23" t="s">
        <v>34</v>
      </c>
      <c r="G57" s="23" t="s">
        <v>60</v>
      </c>
      <c r="H57" s="23" t="s">
        <v>32</v>
      </c>
      <c r="I57" s="62"/>
      <c r="J57" s="65"/>
    </row>
    <row r="58" spans="1:10" x14ac:dyDescent="0.35">
      <c r="A58" s="86"/>
      <c r="B58" s="24" t="s">
        <v>192</v>
      </c>
      <c r="C58" s="33" t="s">
        <v>34</v>
      </c>
      <c r="D58" s="33" t="s">
        <v>194</v>
      </c>
      <c r="E58" s="25">
        <v>3.0000000000000001E-3</v>
      </c>
      <c r="F58" s="23" t="s">
        <v>34</v>
      </c>
      <c r="G58" s="23" t="s">
        <v>60</v>
      </c>
      <c r="H58" s="23" t="s">
        <v>32</v>
      </c>
      <c r="I58" s="62"/>
      <c r="J58" s="65"/>
    </row>
    <row r="59" spans="1:10" x14ac:dyDescent="0.35">
      <c r="A59" s="86"/>
      <c r="B59" s="24" t="s">
        <v>197</v>
      </c>
      <c r="C59" s="33" t="s">
        <v>34</v>
      </c>
      <c r="D59" s="33" t="s">
        <v>198</v>
      </c>
      <c r="E59" s="25">
        <v>0.01</v>
      </c>
      <c r="F59" s="23" t="s">
        <v>34</v>
      </c>
      <c r="G59" s="23" t="s">
        <v>60</v>
      </c>
      <c r="H59" s="23" t="s">
        <v>32</v>
      </c>
      <c r="I59" s="62"/>
      <c r="J59" s="65"/>
    </row>
    <row r="60" spans="1:10" ht="15" thickBot="1" x14ac:dyDescent="0.4">
      <c r="A60" s="86"/>
      <c r="B60" s="24" t="s">
        <v>153</v>
      </c>
      <c r="C60" s="33" t="s">
        <v>34</v>
      </c>
      <c r="D60" s="33" t="s">
        <v>150</v>
      </c>
      <c r="E60" s="25">
        <v>1.0999999999999999E-2</v>
      </c>
      <c r="F60" s="23" t="s">
        <v>34</v>
      </c>
      <c r="G60" s="23" t="s">
        <v>149</v>
      </c>
      <c r="H60" s="23" t="s">
        <v>32</v>
      </c>
      <c r="I60" s="62"/>
      <c r="J60" s="69"/>
    </row>
    <row r="61" spans="1:10" ht="15" thickBot="1" x14ac:dyDescent="0.4">
      <c r="A61" s="74" t="s">
        <v>47</v>
      </c>
      <c r="B61" s="13" t="s">
        <v>16</v>
      </c>
      <c r="C61" s="18" t="s">
        <v>33</v>
      </c>
      <c r="D61" s="18" t="s">
        <v>105</v>
      </c>
      <c r="E61" s="11">
        <v>0.06</v>
      </c>
      <c r="F61" s="18" t="s">
        <v>34</v>
      </c>
      <c r="G61" s="18" t="s">
        <v>152</v>
      </c>
      <c r="H61" s="18"/>
      <c r="I61" s="70">
        <f>SUM(E61:E65)</f>
        <v>0.16199999999999998</v>
      </c>
      <c r="J61" s="56" t="s">
        <v>128</v>
      </c>
    </row>
    <row r="62" spans="1:10" ht="15" thickBot="1" x14ac:dyDescent="0.4">
      <c r="A62" s="75"/>
      <c r="B62" s="1" t="s">
        <v>15</v>
      </c>
      <c r="C62" s="17" t="s">
        <v>33</v>
      </c>
      <c r="D62" s="17" t="s">
        <v>106</v>
      </c>
      <c r="E62" s="7">
        <v>2.5999999999999999E-2</v>
      </c>
      <c r="F62" s="20" t="s">
        <v>34</v>
      </c>
      <c r="G62" s="20" t="s">
        <v>152</v>
      </c>
      <c r="H62" s="17"/>
      <c r="I62" s="62"/>
      <c r="J62" s="56"/>
    </row>
    <row r="63" spans="1:10" ht="15" thickBot="1" x14ac:dyDescent="0.4">
      <c r="A63" s="75"/>
      <c r="B63" s="1" t="s">
        <v>154</v>
      </c>
      <c r="C63" s="20" t="s">
        <v>33</v>
      </c>
      <c r="D63" s="20" t="s">
        <v>107</v>
      </c>
      <c r="E63" s="5">
        <v>2.3E-2</v>
      </c>
      <c r="F63" s="20" t="s">
        <v>34</v>
      </c>
      <c r="G63" s="20" t="s">
        <v>152</v>
      </c>
      <c r="H63" s="20"/>
      <c r="I63" s="62"/>
      <c r="J63" s="56"/>
    </row>
    <row r="64" spans="1:10" ht="15" thickBot="1" x14ac:dyDescent="0.4">
      <c r="A64" s="75"/>
      <c r="B64" s="1" t="s">
        <v>17</v>
      </c>
      <c r="C64" s="20" t="s">
        <v>33</v>
      </c>
      <c r="D64" s="20" t="s">
        <v>108</v>
      </c>
      <c r="E64" s="5">
        <v>3.4000000000000002E-2</v>
      </c>
      <c r="F64" s="20" t="s">
        <v>34</v>
      </c>
      <c r="G64" s="20" t="s">
        <v>152</v>
      </c>
      <c r="H64" s="20"/>
      <c r="I64" s="62"/>
      <c r="J64" s="56"/>
    </row>
    <row r="65" spans="1:10" ht="15" thickBot="1" x14ac:dyDescent="0.4">
      <c r="A65" s="76"/>
      <c r="B65" s="3" t="s">
        <v>18</v>
      </c>
      <c r="C65" s="19" t="s">
        <v>33</v>
      </c>
      <c r="D65" s="19" t="s">
        <v>109</v>
      </c>
      <c r="E65" s="6">
        <v>1.9E-2</v>
      </c>
      <c r="F65" s="19" t="s">
        <v>34</v>
      </c>
      <c r="G65" s="19" t="s">
        <v>152</v>
      </c>
      <c r="H65" s="19"/>
      <c r="I65" s="63"/>
      <c r="J65" s="56"/>
    </row>
    <row r="66" spans="1:10" ht="15" thickBot="1" x14ac:dyDescent="0.4">
      <c r="A66" s="85" t="s">
        <v>43</v>
      </c>
      <c r="B66" s="4" t="s">
        <v>110</v>
      </c>
      <c r="C66" s="17" t="s">
        <v>33</v>
      </c>
      <c r="D66" s="17" t="s">
        <v>111</v>
      </c>
      <c r="E66" s="8">
        <v>0.182</v>
      </c>
      <c r="F66" s="17" t="s">
        <v>33</v>
      </c>
      <c r="G66" s="17" t="s">
        <v>59</v>
      </c>
      <c r="H66" s="17" t="s">
        <v>32</v>
      </c>
      <c r="I66" s="62">
        <f>SUM(E66:E67)</f>
        <v>0.30099999999999999</v>
      </c>
      <c r="J66" s="57" t="s">
        <v>127</v>
      </c>
    </row>
    <row r="67" spans="1:10" ht="15" thickBot="1" x14ac:dyDescent="0.4">
      <c r="A67" s="76"/>
      <c r="B67" s="12" t="s">
        <v>113</v>
      </c>
      <c r="C67" s="19" t="s">
        <v>33</v>
      </c>
      <c r="D67" s="19" t="s">
        <v>112</v>
      </c>
      <c r="E67" s="6">
        <v>0.11899999999999999</v>
      </c>
      <c r="F67" s="20" t="s">
        <v>33</v>
      </c>
      <c r="G67" s="20" t="s">
        <v>59</v>
      </c>
      <c r="H67" s="19" t="s">
        <v>32</v>
      </c>
      <c r="I67" s="63"/>
      <c r="J67" s="56"/>
    </row>
    <row r="68" spans="1:10" ht="15" thickBot="1" x14ac:dyDescent="0.4">
      <c r="A68" s="74" t="s">
        <v>42</v>
      </c>
      <c r="B68" s="13" t="s">
        <v>114</v>
      </c>
      <c r="C68" s="18" t="s">
        <v>33</v>
      </c>
      <c r="D68" s="18" t="s">
        <v>115</v>
      </c>
      <c r="E68" s="9">
        <v>0.125</v>
      </c>
      <c r="F68" s="18" t="s">
        <v>33</v>
      </c>
      <c r="G68" s="18" t="s">
        <v>59</v>
      </c>
      <c r="H68" s="18" t="s">
        <v>32</v>
      </c>
      <c r="I68" s="62">
        <f>SUM(E68:E69)</f>
        <v>0.16799999999999998</v>
      </c>
      <c r="J68" s="55" t="s">
        <v>128</v>
      </c>
    </row>
    <row r="69" spans="1:10" ht="15" thickBot="1" x14ac:dyDescent="0.4">
      <c r="A69" s="76"/>
      <c r="B69" s="4" t="s">
        <v>56</v>
      </c>
      <c r="C69" s="34" t="s">
        <v>33</v>
      </c>
      <c r="D69" s="34" t="s">
        <v>116</v>
      </c>
      <c r="E69" s="8">
        <v>4.2999999999999997E-2</v>
      </c>
      <c r="F69" s="19" t="s">
        <v>33</v>
      </c>
      <c r="G69" s="19" t="s">
        <v>59</v>
      </c>
      <c r="H69" s="19" t="s">
        <v>32</v>
      </c>
      <c r="I69" s="63"/>
      <c r="J69" s="55"/>
    </row>
    <row r="70" spans="1:10" ht="15" thickBot="1" x14ac:dyDescent="0.4">
      <c r="A70" s="74" t="s">
        <v>44</v>
      </c>
      <c r="B70" s="13" t="s">
        <v>118</v>
      </c>
      <c r="C70" s="18" t="s">
        <v>33</v>
      </c>
      <c r="D70" s="18" t="s">
        <v>117</v>
      </c>
      <c r="E70" s="9">
        <v>0.17100000000000001</v>
      </c>
      <c r="F70" s="18" t="s">
        <v>33</v>
      </c>
      <c r="G70" s="18" t="s">
        <v>59</v>
      </c>
      <c r="H70" s="18" t="s">
        <v>32</v>
      </c>
      <c r="I70" s="62">
        <f>SUM(E70:E71)</f>
        <v>0.31900000000000001</v>
      </c>
      <c r="J70" s="55" t="s">
        <v>127</v>
      </c>
    </row>
    <row r="71" spans="1:10" ht="15" thickBot="1" x14ac:dyDescent="0.4">
      <c r="A71" s="76"/>
      <c r="B71" s="3" t="s">
        <v>120</v>
      </c>
      <c r="C71" s="19" t="s">
        <v>33</v>
      </c>
      <c r="D71" s="19" t="s">
        <v>119</v>
      </c>
      <c r="E71" s="6">
        <v>0.14799999999999999</v>
      </c>
      <c r="F71" s="19" t="s">
        <v>33</v>
      </c>
      <c r="G71" s="19" t="s">
        <v>59</v>
      </c>
      <c r="H71" s="19" t="s">
        <v>32</v>
      </c>
      <c r="I71" s="63"/>
      <c r="J71" s="55"/>
    </row>
    <row r="72" spans="1:10" ht="15" thickBot="1" x14ac:dyDescent="0.4">
      <c r="A72" s="74" t="s">
        <v>45</v>
      </c>
      <c r="B72" s="13" t="s">
        <v>19</v>
      </c>
      <c r="C72" s="18" t="s">
        <v>33</v>
      </c>
      <c r="D72" s="18" t="s">
        <v>121</v>
      </c>
      <c r="E72" s="9">
        <v>0.155</v>
      </c>
      <c r="F72" s="18" t="s">
        <v>34</v>
      </c>
      <c r="G72" s="17" t="s">
        <v>142</v>
      </c>
      <c r="H72" s="18"/>
      <c r="I72" s="62">
        <f>SUM(E72:E74)</f>
        <v>0.32100000000000001</v>
      </c>
      <c r="J72" s="56" t="s">
        <v>128</v>
      </c>
    </row>
    <row r="73" spans="1:10" ht="15" thickBot="1" x14ac:dyDescent="0.4">
      <c r="A73" s="75"/>
      <c r="B73" s="4" t="s">
        <v>122</v>
      </c>
      <c r="C73" s="17" t="s">
        <v>33</v>
      </c>
      <c r="D73" s="17" t="s">
        <v>144</v>
      </c>
      <c r="E73" s="7">
        <v>0.128</v>
      </c>
      <c r="F73" s="20" t="s">
        <v>34</v>
      </c>
      <c r="G73" s="17" t="s">
        <v>142</v>
      </c>
      <c r="H73" s="20"/>
      <c r="I73" s="62"/>
      <c r="J73" s="56"/>
    </row>
    <row r="74" spans="1:10" ht="15" thickBot="1" x14ac:dyDescent="0.4">
      <c r="A74" s="76"/>
      <c r="B74" s="3" t="s">
        <v>20</v>
      </c>
      <c r="C74" s="19" t="s">
        <v>33</v>
      </c>
      <c r="D74" s="19" t="s">
        <v>123</v>
      </c>
      <c r="E74" s="6">
        <v>3.7999999999999999E-2</v>
      </c>
      <c r="F74" s="19" t="s">
        <v>34</v>
      </c>
      <c r="G74" s="17" t="s">
        <v>142</v>
      </c>
      <c r="H74" s="19"/>
      <c r="I74" s="63"/>
      <c r="J74" s="56"/>
    </row>
    <row r="75" spans="1:10" ht="15" thickBot="1" x14ac:dyDescent="0.4">
      <c r="A75" s="74" t="s">
        <v>46</v>
      </c>
      <c r="B75" s="1" t="s">
        <v>23</v>
      </c>
      <c r="C75" s="17" t="s">
        <v>33</v>
      </c>
      <c r="D75" s="17" t="s">
        <v>124</v>
      </c>
      <c r="E75" s="7">
        <v>0.14099999999999999</v>
      </c>
      <c r="F75" s="18" t="s">
        <v>33</v>
      </c>
      <c r="G75" s="18" t="s">
        <v>59</v>
      </c>
      <c r="H75" s="17" t="s">
        <v>32</v>
      </c>
      <c r="I75" s="62">
        <f>SUM(E75:E77)</f>
        <v>0.24399999999999999</v>
      </c>
      <c r="J75" s="56" t="s">
        <v>127</v>
      </c>
    </row>
    <row r="76" spans="1:10" ht="15" thickBot="1" x14ac:dyDescent="0.4">
      <c r="A76" s="75"/>
      <c r="B76" s="1" t="s">
        <v>21</v>
      </c>
      <c r="C76" s="20" t="s">
        <v>33</v>
      </c>
      <c r="D76" s="20" t="s">
        <v>125</v>
      </c>
      <c r="E76" s="5">
        <v>4.8000000000000001E-2</v>
      </c>
      <c r="F76" s="20" t="s">
        <v>33</v>
      </c>
      <c r="G76" s="20" t="s">
        <v>59</v>
      </c>
      <c r="H76" s="20" t="s">
        <v>32</v>
      </c>
      <c r="I76" s="62"/>
      <c r="J76" s="56"/>
    </row>
    <row r="77" spans="1:10" ht="15" thickBot="1" x14ac:dyDescent="0.4">
      <c r="A77" s="76"/>
      <c r="B77" s="3" t="s">
        <v>22</v>
      </c>
      <c r="C77" s="19" t="s">
        <v>33</v>
      </c>
      <c r="D77" s="19" t="s">
        <v>126</v>
      </c>
      <c r="E77" s="6">
        <v>5.5E-2</v>
      </c>
      <c r="F77" s="19" t="s">
        <v>33</v>
      </c>
      <c r="G77" s="19" t="s">
        <v>59</v>
      </c>
      <c r="H77" s="19" t="s">
        <v>32</v>
      </c>
      <c r="I77" s="63"/>
      <c r="J77" s="56"/>
    </row>
    <row r="78" spans="1:10" x14ac:dyDescent="0.35">
      <c r="B78" s="16">
        <f>COUNTA(B2:B77)</f>
        <v>76</v>
      </c>
    </row>
  </sheetData>
  <autoFilter ref="A1:I78" xr:uid="{D56E2E6C-1134-4DA2-A4A2-C7EA08219E73}"/>
  <mergeCells count="46">
    <mergeCell ref="A72:A74"/>
    <mergeCell ref="A75:A77"/>
    <mergeCell ref="A2:A5"/>
    <mergeCell ref="A6:A8"/>
    <mergeCell ref="A37:A40"/>
    <mergeCell ref="A45:A50"/>
    <mergeCell ref="A51:A60"/>
    <mergeCell ref="A9:A15"/>
    <mergeCell ref="A43:A44"/>
    <mergeCell ref="A61:A65"/>
    <mergeCell ref="A66:A67"/>
    <mergeCell ref="A68:A69"/>
    <mergeCell ref="A70:A71"/>
    <mergeCell ref="A41:A42"/>
    <mergeCell ref="A16:A35"/>
    <mergeCell ref="I70:I71"/>
    <mergeCell ref="I72:I74"/>
    <mergeCell ref="I75:I77"/>
    <mergeCell ref="I2:I5"/>
    <mergeCell ref="I6:I8"/>
    <mergeCell ref="I9:I15"/>
    <mergeCell ref="I37:I40"/>
    <mergeCell ref="I43:I44"/>
    <mergeCell ref="I45:I50"/>
    <mergeCell ref="I51:I60"/>
    <mergeCell ref="I61:I65"/>
    <mergeCell ref="I66:I67"/>
    <mergeCell ref="I41:I42"/>
    <mergeCell ref="I16:I35"/>
    <mergeCell ref="J2:J5"/>
    <mergeCell ref="J6:J8"/>
    <mergeCell ref="J9:J15"/>
    <mergeCell ref="I68:I69"/>
    <mergeCell ref="J53:J55"/>
    <mergeCell ref="J37:J40"/>
    <mergeCell ref="J41:J42"/>
    <mergeCell ref="J43:J44"/>
    <mergeCell ref="J45:J50"/>
    <mergeCell ref="J16:J35"/>
    <mergeCell ref="J56:J60"/>
    <mergeCell ref="J70:J71"/>
    <mergeCell ref="J72:J74"/>
    <mergeCell ref="J75:J77"/>
    <mergeCell ref="J61:J65"/>
    <mergeCell ref="J66:J67"/>
    <mergeCell ref="J68:J69"/>
  </mergeCells>
  <pageMargins left="0.7" right="0.7" top="0.78740157499999996" bottom="0.78740157499999996" header="0.3" footer="0.3"/>
  <pageSetup paperSize="9" orientation="portrait" r:id="rId1"/>
  <ignoredErrors>
    <ignoredError sqref="I2 I6 I9 I37 I43 I45 I51 I61 I66 I68 I70 I72 I75 I41 I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Gieseler, Roxana</dc:creator>
  <cp:lastModifiedBy>Pütz, Peter</cp:lastModifiedBy>
  <dcterms:created xsi:type="dcterms:W3CDTF">2024-09-19T09:03:08Z</dcterms:created>
  <dcterms:modified xsi:type="dcterms:W3CDTF">2025-02-03T04:18:47Z</dcterms:modified>
</cp:coreProperties>
</file>